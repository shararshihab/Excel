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Excel Documents\"/>
    </mc:Choice>
  </mc:AlternateContent>
  <xr:revisionPtr revIDLastSave="0" documentId="13_ncr:1_{2D7F7842-536C-4452-AAA4-7617080F8F49}" xr6:coauthVersionLast="47" xr6:coauthVersionMax="47" xr10:uidLastSave="{00000000-0000-0000-0000-000000000000}"/>
  <bookViews>
    <workbookView xWindow="-108" yWindow="-108" windowWidth="23256" windowHeight="13176" xr2:uid="{87ABEA0C-63C1-471E-8451-64E19AF8B0D2}"/>
  </bookViews>
  <sheets>
    <sheet name="Mea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1" l="1"/>
  <c r="M22" i="1"/>
  <c r="M21" i="1"/>
  <c r="M20" i="1"/>
  <c r="M19" i="1"/>
  <c r="J23" i="1"/>
  <c r="J22" i="1"/>
  <c r="J21" i="1"/>
  <c r="J20" i="1"/>
  <c r="J19" i="1"/>
  <c r="D27" i="1" l="1"/>
  <c r="D26" i="1"/>
  <c r="K23" i="1" l="1"/>
  <c r="L23" i="1" s="1"/>
  <c r="N23" i="1" s="1"/>
  <c r="K21" i="1"/>
  <c r="L21" i="1" s="1"/>
  <c r="N21" i="1" s="1"/>
  <c r="K20" i="1"/>
  <c r="L20" i="1" s="1"/>
  <c r="N20" i="1" s="1"/>
  <c r="K19" i="1"/>
  <c r="L19" i="1" s="1"/>
  <c r="N19" i="1" s="1"/>
  <c r="K22" i="1"/>
  <c r="L22" i="1" s="1"/>
  <c r="N22" i="1" s="1"/>
</calcChain>
</file>

<file path=xl/sharedStrings.xml><?xml version="1.0" encoding="utf-8"?>
<sst xmlns="http://schemas.openxmlformats.org/spreadsheetml/2006/main" count="65" uniqueCount="48">
  <si>
    <t>Shihab</t>
  </si>
  <si>
    <t>Nobo</t>
  </si>
  <si>
    <t>Jony</t>
  </si>
  <si>
    <t>Date:</t>
  </si>
  <si>
    <t>New1</t>
  </si>
  <si>
    <t>new2</t>
  </si>
  <si>
    <t>1/1/2023</t>
  </si>
  <si>
    <t>1/2/2023</t>
  </si>
  <si>
    <t>1/3/2023</t>
  </si>
  <si>
    <t>1/4/2023</t>
  </si>
  <si>
    <t>1/5/2023</t>
  </si>
  <si>
    <t>1/6/2023</t>
  </si>
  <si>
    <t>1/7/2023</t>
  </si>
  <si>
    <t>1/8/2023</t>
  </si>
  <si>
    <t>1/9/2023</t>
  </si>
  <si>
    <t>1/10/2023</t>
  </si>
  <si>
    <t>1/11/2023</t>
  </si>
  <si>
    <t>1/12/2023</t>
  </si>
  <si>
    <t>1/13/2023</t>
  </si>
  <si>
    <t>1/14/2023</t>
  </si>
  <si>
    <t>1/15/2023</t>
  </si>
  <si>
    <t>1/16/2023</t>
  </si>
  <si>
    <t>1/17/2023</t>
  </si>
  <si>
    <t>1/18/2023</t>
  </si>
  <si>
    <t>1/19/2023</t>
  </si>
  <si>
    <t>1/20/2023</t>
  </si>
  <si>
    <t>1/21/2023</t>
  </si>
  <si>
    <t>1/22/2023</t>
  </si>
  <si>
    <t>1/23/2023</t>
  </si>
  <si>
    <t>1/24/2023</t>
  </si>
  <si>
    <t>1/25/2023</t>
  </si>
  <si>
    <t>1/26/2023</t>
  </si>
  <si>
    <t>1/27/2023</t>
  </si>
  <si>
    <t>1/28/2023</t>
  </si>
  <si>
    <t>1/29/2023</t>
  </si>
  <si>
    <t>1/30/2023</t>
  </si>
  <si>
    <t>1/31/2023</t>
  </si>
  <si>
    <t>Name</t>
  </si>
  <si>
    <t>Day</t>
  </si>
  <si>
    <t>Meal</t>
  </si>
  <si>
    <t>Meal Rate</t>
  </si>
  <si>
    <t>Shooping</t>
  </si>
  <si>
    <t>Give/Take</t>
  </si>
  <si>
    <t xml:space="preserve">Total </t>
  </si>
  <si>
    <t>Total Meal</t>
  </si>
  <si>
    <t>Total Shooping</t>
  </si>
  <si>
    <t>Meal Calculator
Dishonest Wife</t>
  </si>
  <si>
    <t>Final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</si>
</sst>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4" fontId="3" fillId="2" borderId="0" xfId="0" applyNumberFormat="1" applyFont="1" applyFill="1" applyAlignment="1"/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right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right" vertical="center"/>
    </xf>
    <xf numFmtId="0" fontId="0" fillId="3" borderId="5" xfId="0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14" fontId="0" fillId="5" borderId="0" xfId="0" applyNumberFormat="1" applyFill="1"/>
    <xf numFmtId="0" fontId="0" fillId="5" borderId="0" xfId="0" applyFill="1" applyAlignment="1">
      <alignment horizontal="center" vertical="center"/>
    </xf>
    <xf numFmtId="0" fontId="1" fillId="4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>
      <alignment vertical="center"/>
    </xf>
    <xf numFmtId="0" fontId="0" fillId="4" borderId="0" xfId="0" applyFill="1" applyAlignment="1"/>
    <xf numFmtId="0" fontId="0" fillId="4" borderId="0" xfId="0" applyFill="1" applyAlignment="1">
      <alignment horizontal="center" vertic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</cellXfs>
  <cellStyles count="1"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  <alignment horizontal="general" textRotation="0" wrapText="0" indent="0" justifyLastLine="0" shrinkToFit="0" readingOrder="0"/>
    </dxf>
    <dxf>
      <numFmt numFmtId="19" formatCode="m/d/yyyy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17</xdr:row>
          <xdr:rowOff>22860</xdr:rowOff>
        </xdr:from>
        <xdr:to>
          <xdr:col>16</xdr:col>
          <xdr:colOff>335280</xdr:colOff>
          <xdr:row>19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HK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32926F-51C8-4B71-B6E7-4636FB7FC711}" name="Table3" displayName="Table3" ref="B4:Q9" totalsRowShown="0" headerRowDxfId="52">
  <tableColumns count="16">
    <tableColumn id="1" xr3:uid="{DFA3B974-3504-4166-B746-5153C6BF1D29}" name="Date:" dataDxfId="17"/>
    <tableColumn id="2" xr3:uid="{FE3A53E6-F28D-4B04-8EB2-5727BA95C419}" name="1/1/2023" dataDxfId="18"/>
    <tableColumn id="3" xr3:uid="{87868D40-794C-44B9-80CC-9B6427283E31}" name="1/2/2023" dataDxfId="32"/>
    <tableColumn id="4" xr3:uid="{282FDD15-7414-4113-8BDB-D0233374F927}" name="1/3/2023" dataDxfId="31"/>
    <tableColumn id="5" xr3:uid="{7B1C6022-3AE7-4D9C-BAAF-1783D2214EB7}" name="1/4/2023" dataDxfId="30"/>
    <tableColumn id="6" xr3:uid="{1D324E8E-C815-4CF2-A8F9-B78A44A13EC6}" name="1/5/2023" dataDxfId="29"/>
    <tableColumn id="7" xr3:uid="{96FC3963-F3E6-49FA-8049-C3A6F5164548}" name="1/6/2023" dataDxfId="28"/>
    <tableColumn id="8" xr3:uid="{9607242D-AA73-43AB-9F1A-61E06902972C}" name="1/7/2023" dataDxfId="27"/>
    <tableColumn id="9" xr3:uid="{C47FA8DD-ABED-460D-BC8B-4A53F3F5B70B}" name="1/8/2023" dataDxfId="26"/>
    <tableColumn id="10" xr3:uid="{0D005928-4E1D-40B1-BCA9-A22C5C815939}" name="1/9/2023" dataDxfId="25"/>
    <tableColumn id="11" xr3:uid="{5E9D784F-6300-42E6-B6E7-75BA232121FF}" name="1/10/2023" dataDxfId="24"/>
    <tableColumn id="12" xr3:uid="{A23D9525-CF17-470E-AB9B-50B783E0E15F}" name="1/11/2023" dataDxfId="23"/>
    <tableColumn id="13" xr3:uid="{92DF1BDE-4484-4948-92F0-52534C1DCB21}" name="1/12/2023" dataDxfId="22"/>
    <tableColumn id="14" xr3:uid="{4E0C476D-7F62-4705-B15A-282745BDB80B}" name="1/13/2023" dataDxfId="21"/>
    <tableColumn id="15" xr3:uid="{0A638991-B6FA-457D-B456-63BD64F6E42F}" name="1/14/2023" dataDxfId="20"/>
    <tableColumn id="16" xr3:uid="{0D1BFD8B-F4AE-4EB0-AC40-A32FC26C3FF3}" name="1/15/2023" dataDxfId="19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FE160C-E716-4935-B4B0-0A680B0BEAA2}" name="Table4" displayName="Table4" ref="B10:R15" totalsRowShown="0" headerRowDxfId="34" dataDxfId="33">
  <tableColumns count="17">
    <tableColumn id="1" xr3:uid="{1397751D-6725-480B-B648-F224DAA22C11}" name="Name" dataDxfId="51"/>
    <tableColumn id="2" xr3:uid="{C103CE67-ACAE-4011-AB5C-F2FC4F2C0AA6}" name="1/16/2023" dataDxfId="50"/>
    <tableColumn id="3" xr3:uid="{BAC2AA55-C331-4566-88C0-7C09116BB160}" name="1/17/2023" dataDxfId="49"/>
    <tableColumn id="4" xr3:uid="{7FC9629A-B2F3-4331-B350-E8D53E199548}" name="1/18/2023" dataDxfId="48"/>
    <tableColumn id="5" xr3:uid="{E4807AF9-D249-4C37-9629-8C473083A76C}" name="1/19/2023" dataDxfId="47"/>
    <tableColumn id="6" xr3:uid="{EC6ED282-C6B3-4FC1-B269-CB1AABA972D8}" name="1/20/2023" dataDxfId="46"/>
    <tableColumn id="7" xr3:uid="{BB504719-9836-4A39-B6AA-4FC2D0CDDCC6}" name="1/21/2023" dataDxfId="45"/>
    <tableColumn id="8" xr3:uid="{B229B9B9-D8A3-4FA3-BB40-3F277109438F}" name="1/22/2023" dataDxfId="44"/>
    <tableColumn id="9" xr3:uid="{39ADECFF-39F2-4571-9BD5-F237BBBBD5EE}" name="1/23/2023" dataDxfId="43"/>
    <tableColumn id="10" xr3:uid="{6B93513F-A416-4877-868B-5CC9359782F8}" name="1/24/2023" dataDxfId="42"/>
    <tableColumn id="11" xr3:uid="{24082EF5-F159-482C-9AE7-59BF2DCBAC86}" name="1/25/2023" dataDxfId="41"/>
    <tableColumn id="12" xr3:uid="{0438B90F-3A16-46AF-9E7B-9F6BC4A5430A}" name="1/26/2023" dataDxfId="40"/>
    <tableColumn id="13" xr3:uid="{87275F23-E9C6-4BB0-9319-F2C438D5F8A8}" name="1/27/2023" dataDxfId="39"/>
    <tableColumn id="14" xr3:uid="{B4143861-CCAD-4F48-8EB0-BFD2DDEBBC0E}" name="1/28/2023" dataDxfId="38"/>
    <tableColumn id="15" xr3:uid="{9E574FD9-383E-49E3-8781-3D26937C86A7}" name="1/29/2023" dataDxfId="37"/>
    <tableColumn id="16" xr3:uid="{3EA504EE-0BE6-401E-8820-29BB4C5F731D}" name="1/30/2023" dataDxfId="36"/>
    <tableColumn id="17" xr3:uid="{91E481AA-9568-4338-A045-B0A9252BAA17}" name="1/31/2023" dataDxfId="35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40B336-BFFB-461F-8338-8C4FCC077C8B}" name="Table5" displayName="Table5" ref="B18:G24" totalsRowShown="0" headerRowDxfId="10" dataDxfId="11">
  <tableColumns count="6">
    <tableColumn id="1" xr3:uid="{75F1E7A0-FA5A-479C-B4FB-3C193B5955F8}" name="Day" dataDxfId="16"/>
    <tableColumn id="2" xr3:uid="{03AEEDA7-9C45-476A-A48A-E3A96A8DA085}" name="Nobo" dataDxfId="15"/>
    <tableColumn id="3" xr3:uid="{4BAD255B-6962-4038-8895-650E5E7CF4A4}" name="Jony" dataDxfId="14"/>
    <tableColumn id="4" xr3:uid="{5D228C2A-DD58-4F3E-B922-3A89E8EF9E92}" name="Shihab" dataDxfId="13"/>
    <tableColumn id="5" xr3:uid="{016FBF06-17FB-4ABA-AB73-3A4E8F599680}" name="New1" dataDxfId="12"/>
    <tableColumn id="6" xr3:uid="{E9CBF703-1FAF-40EA-B34C-F8DCA76D2F58}" name="new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1A6AFAC-9236-477D-8EAC-3389BD16E918}" name="Table6" displayName="Table6" ref="I18:N23" totalsRowShown="0" headerRowDxfId="1" dataDxfId="0">
  <tableColumns count="6">
    <tableColumn id="1" xr3:uid="{E90DA5CB-2910-41EA-B387-5B86A4662B1D}" name="Name" dataDxfId="7"/>
    <tableColumn id="2" xr3:uid="{97756D11-85E0-4C3D-A354-9D6BCF0F262E}" name="Meal" dataDxfId="6"/>
    <tableColumn id="3" xr3:uid="{EAEFC020-C0C1-4730-901C-BEB4C9F896BE}" name="Meal Rate" dataDxfId="5">
      <calculatedColumnFormula>IFERROR(ROUNDUP($D$27/$D$26,0),"")</calculatedColumnFormula>
    </tableColumn>
    <tableColumn id="4" xr3:uid="{F2F3365D-01E3-496B-A1B0-C8A5874F9766}" name="Total " dataDxfId="4">
      <calculatedColumnFormula>IFERROR(ROUNDUP(Table6[[#This Row],[Meal]]*Table6[[#This Row],[Meal Rate]],0),"")</calculatedColumnFormula>
    </tableColumn>
    <tableColumn id="5" xr3:uid="{DD2EECAB-E168-471C-8499-4F5AADA945BF}" name="Shooping" dataDxfId="3">
      <calculatedColumnFormula>SUM(Table5[Nobo])</calculatedColumnFormula>
    </tableColumn>
    <tableColumn id="6" xr3:uid="{BFE60DC9-7D4A-4EE2-B2BF-5F6FC3DD4796}" name="Give/Take" dataDxfId="2">
      <calculatedColumnFormula>IFERROR(Table6[[#This Row],[Shooping]]-Table6[[#This Row],[Total ]],"")</calculatedColumnFormula>
    </tableColumn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8DF44-FD90-4773-B4E5-170B1D1B364B}">
  <sheetPr codeName="Sheet1"/>
  <dimension ref="A1:AG67"/>
  <sheetViews>
    <sheetView showGridLines="0" showRowColHeaders="0" tabSelected="1" zoomScale="96" zoomScaleNormal="96" workbookViewId="0">
      <selection activeCell="P22" sqref="P22"/>
    </sheetView>
  </sheetViews>
  <sheetFormatPr defaultColWidth="0" defaultRowHeight="14.4" zeroHeight="1" x14ac:dyDescent="0.3"/>
  <cols>
    <col min="1" max="1" width="2.109375" customWidth="1"/>
    <col min="2" max="2" width="10.77734375" customWidth="1"/>
    <col min="3" max="3" width="13.77734375" bestFit="1" customWidth="1"/>
    <col min="4" max="18" width="12" customWidth="1"/>
    <col min="19" max="19" width="1.77734375" customWidth="1"/>
    <col min="20" max="21" width="10" hidden="1"/>
    <col min="22" max="33" width="9.5546875" hidden="1"/>
    <col min="34" max="16384" width="8.88671875" hidden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s="16" customFormat="1" x14ac:dyDescent="0.3">
      <c r="B2" s="15"/>
      <c r="C2" s="15"/>
      <c r="D2" s="15"/>
      <c r="E2" s="15"/>
      <c r="F2" s="15"/>
      <c r="G2" s="19" t="s">
        <v>46</v>
      </c>
      <c r="H2" s="20"/>
      <c r="I2" s="20"/>
      <c r="J2" s="15"/>
      <c r="K2" s="15"/>
      <c r="L2" s="15"/>
      <c r="M2" s="15"/>
      <c r="N2" s="15"/>
      <c r="O2" s="15"/>
      <c r="P2" s="15"/>
      <c r="Q2" s="15"/>
      <c r="R2" s="15"/>
    </row>
    <row r="3" spans="1:19" s="16" customFormat="1" x14ac:dyDescent="0.3">
      <c r="B3" s="15"/>
      <c r="C3" s="15"/>
      <c r="D3" s="15"/>
      <c r="E3" s="15"/>
      <c r="F3" s="15"/>
      <c r="G3" s="20"/>
      <c r="H3" s="20"/>
      <c r="I3" s="20"/>
      <c r="J3" s="15"/>
      <c r="K3" s="15"/>
      <c r="L3" s="15"/>
      <c r="M3" s="15"/>
      <c r="N3" s="15"/>
      <c r="O3" s="15"/>
      <c r="P3" s="15"/>
      <c r="Q3" s="15"/>
      <c r="R3" s="15"/>
    </row>
    <row r="4" spans="1:19" s="16" customFormat="1" x14ac:dyDescent="0.3">
      <c r="B4" s="7" t="s">
        <v>3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16</v>
      </c>
      <c r="N4" s="1" t="s">
        <v>17</v>
      </c>
      <c r="O4" s="1" t="s">
        <v>18</v>
      </c>
      <c r="P4" s="1" t="s">
        <v>19</v>
      </c>
      <c r="Q4" s="1" t="s">
        <v>20</v>
      </c>
      <c r="R4" s="15"/>
    </row>
    <row r="5" spans="1:19" s="16" customFormat="1" x14ac:dyDescent="0.3">
      <c r="A5" s="17"/>
      <c r="B5" s="6" t="s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15"/>
    </row>
    <row r="6" spans="1:19" s="16" customFormat="1" x14ac:dyDescent="0.3">
      <c r="A6" s="17"/>
      <c r="B6" s="6" t="s">
        <v>2</v>
      </c>
      <c r="C6" s="4"/>
      <c r="D6" s="4"/>
      <c r="E6" s="4"/>
      <c r="F6" s="4"/>
      <c r="G6" s="4"/>
      <c r="H6" s="4"/>
      <c r="I6" s="4"/>
      <c r="J6" s="5"/>
      <c r="K6" s="5"/>
      <c r="L6" s="5"/>
      <c r="M6" s="5"/>
      <c r="N6" s="5"/>
      <c r="O6" s="5"/>
      <c r="P6" s="5"/>
      <c r="Q6" s="5"/>
      <c r="R6" s="15"/>
    </row>
    <row r="7" spans="1:19" s="16" customFormat="1" x14ac:dyDescent="0.3">
      <c r="A7" s="17"/>
      <c r="B7" s="6" t="s">
        <v>0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5"/>
      <c r="Q7" s="5"/>
      <c r="R7" s="15"/>
    </row>
    <row r="8" spans="1:19" s="16" customFormat="1" x14ac:dyDescent="0.3">
      <c r="A8" s="17"/>
      <c r="B8" s="6" t="s">
        <v>4</v>
      </c>
      <c r="C8" s="4"/>
      <c r="D8" s="4"/>
      <c r="E8" s="4"/>
      <c r="F8" s="4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15"/>
    </row>
    <row r="9" spans="1:19" s="16" customFormat="1" x14ac:dyDescent="0.3">
      <c r="A9" s="17"/>
      <c r="B9" s="6" t="s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15"/>
    </row>
    <row r="10" spans="1:19" s="16" customFormat="1" x14ac:dyDescent="0.3">
      <c r="A10" s="17"/>
      <c r="B10" s="8" t="s">
        <v>37</v>
      </c>
      <c r="C10" s="3" t="s">
        <v>21</v>
      </c>
      <c r="D10" s="3" t="s">
        <v>22</v>
      </c>
      <c r="E10" s="3" t="s">
        <v>23</v>
      </c>
      <c r="F10" s="3" t="s">
        <v>24</v>
      </c>
      <c r="G10" s="3" t="s">
        <v>25</v>
      </c>
      <c r="H10" s="3" t="s">
        <v>26</v>
      </c>
      <c r="I10" s="3" t="s">
        <v>27</v>
      </c>
      <c r="J10" s="3" t="s">
        <v>28</v>
      </c>
      <c r="K10" s="3" t="s">
        <v>29</v>
      </c>
      <c r="L10" s="3" t="s">
        <v>30</v>
      </c>
      <c r="M10" s="3" t="s">
        <v>31</v>
      </c>
      <c r="N10" s="3" t="s">
        <v>32</v>
      </c>
      <c r="O10" s="3" t="s">
        <v>33</v>
      </c>
      <c r="P10" s="3" t="s">
        <v>34</v>
      </c>
      <c r="Q10" s="3" t="s">
        <v>35</v>
      </c>
      <c r="R10" s="3" t="s">
        <v>36</v>
      </c>
    </row>
    <row r="11" spans="1:19" s="16" customFormat="1" x14ac:dyDescent="0.3">
      <c r="A11" s="17"/>
      <c r="B11" s="4" t="s">
        <v>1</v>
      </c>
      <c r="C11" s="4"/>
      <c r="D11" s="4"/>
      <c r="E11" s="4"/>
      <c r="F11" s="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9" s="16" customFormat="1" x14ac:dyDescent="0.3">
      <c r="A12" s="17"/>
      <c r="B12" s="4" t="s">
        <v>2</v>
      </c>
      <c r="C12" s="4"/>
      <c r="D12" s="4"/>
      <c r="E12" s="4"/>
      <c r="F12" s="4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9" s="16" customFormat="1" x14ac:dyDescent="0.3">
      <c r="A13" s="17"/>
      <c r="B13" s="4" t="s">
        <v>0</v>
      </c>
      <c r="C13" s="4"/>
      <c r="D13" s="4"/>
      <c r="E13" s="4"/>
      <c r="F13" s="4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9" s="16" customFormat="1" x14ac:dyDescent="0.3">
      <c r="A14" s="17"/>
      <c r="B14" s="4" t="s">
        <v>4</v>
      </c>
      <c r="C14" s="4"/>
      <c r="D14" s="4"/>
      <c r="E14" s="4"/>
      <c r="F14" s="4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9" s="16" customFormat="1" x14ac:dyDescent="0.3">
      <c r="A15" s="17"/>
      <c r="B15" s="4" t="s">
        <v>5</v>
      </c>
      <c r="C15" s="4"/>
      <c r="D15" s="4"/>
      <c r="E15" s="4"/>
      <c r="F15" s="4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9" s="16" customFormat="1" ht="15" thickBot="1" x14ac:dyDescent="0.35">
      <c r="A16" s="17"/>
      <c r="B16" s="22"/>
      <c r="C16" s="22"/>
      <c r="D16" s="22"/>
      <c r="E16" s="22"/>
      <c r="F16" s="22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</row>
    <row r="17" spans="1:18" s="16" customFormat="1" ht="15" thickBot="1" x14ac:dyDescent="0.35">
      <c r="A17" s="17"/>
      <c r="B17" s="24"/>
      <c r="C17" s="24"/>
      <c r="D17" s="29" t="s">
        <v>41</v>
      </c>
      <c r="E17" s="30"/>
      <c r="F17" s="24"/>
      <c r="G17" s="15"/>
      <c r="H17" s="15"/>
      <c r="I17" s="15"/>
      <c r="J17" s="15"/>
      <c r="K17" s="25" t="s">
        <v>47</v>
      </c>
      <c r="L17" s="26"/>
      <c r="M17" s="15"/>
      <c r="N17" s="15"/>
      <c r="O17" s="15"/>
      <c r="P17" s="15"/>
      <c r="Q17" s="15"/>
      <c r="R17" s="15"/>
    </row>
    <row r="18" spans="1:18" s="16" customFormat="1" x14ac:dyDescent="0.3">
      <c r="A18" s="17"/>
      <c r="B18" s="2" t="s">
        <v>38</v>
      </c>
      <c r="C18" s="9" t="s">
        <v>1</v>
      </c>
      <c r="D18" s="27" t="s">
        <v>2</v>
      </c>
      <c r="E18" s="28" t="s">
        <v>0</v>
      </c>
      <c r="F18" s="10" t="s">
        <v>4</v>
      </c>
      <c r="G18" s="9" t="s">
        <v>5</v>
      </c>
      <c r="H18" s="15"/>
      <c r="I18" s="21" t="s">
        <v>37</v>
      </c>
      <c r="J18" s="21" t="s">
        <v>39</v>
      </c>
      <c r="K18" s="21" t="s">
        <v>40</v>
      </c>
      <c r="L18" s="21" t="s">
        <v>43</v>
      </c>
      <c r="M18" s="21" t="s">
        <v>41</v>
      </c>
      <c r="N18" s="21" t="s">
        <v>42</v>
      </c>
      <c r="O18" s="15"/>
      <c r="P18" s="15"/>
      <c r="Q18" s="15"/>
      <c r="R18" s="15"/>
    </row>
    <row r="19" spans="1:18" s="16" customFormat="1" x14ac:dyDescent="0.3">
      <c r="A19" s="17"/>
      <c r="B19" s="2">
        <v>1</v>
      </c>
      <c r="C19" s="2"/>
      <c r="D19" s="2"/>
      <c r="E19" s="2"/>
      <c r="F19" s="2"/>
      <c r="G19"/>
      <c r="H19" s="15"/>
      <c r="I19" s="21" t="s">
        <v>1</v>
      </c>
      <c r="J19" s="21">
        <f>SUM(C5:Q5,C11:R11)</f>
        <v>0</v>
      </c>
      <c r="K19" s="21" t="str">
        <f>IFERROR(ROUNDUP($D$27/$D$26,0),"")</f>
        <v/>
      </c>
      <c r="L19" s="21" t="str">
        <f>IFERROR(ROUNDUP(Table6[[#This Row],[Meal]]*Table6[[#This Row],[Meal Rate]],0),"")</f>
        <v/>
      </c>
      <c r="M19" s="21">
        <f>SUM(Table5[Nobo])</f>
        <v>0</v>
      </c>
      <c r="N19" s="21" t="str">
        <f>IFERROR(Table6[[#This Row],[Shooping]]-Table6[[#This Row],[Total ]],"")</f>
        <v/>
      </c>
      <c r="O19" s="15"/>
      <c r="P19" s="15"/>
      <c r="Q19" s="15"/>
      <c r="R19" s="15"/>
    </row>
    <row r="20" spans="1:18" s="16" customFormat="1" x14ac:dyDescent="0.3">
      <c r="A20" s="17"/>
      <c r="B20" s="2">
        <v>2</v>
      </c>
      <c r="C20" s="2"/>
      <c r="D20" s="2"/>
      <c r="E20" s="2"/>
      <c r="F20" s="2"/>
      <c r="G20"/>
      <c r="H20" s="15"/>
      <c r="I20" s="21" t="s">
        <v>2</v>
      </c>
      <c r="J20" s="21">
        <f>SUM(C6:Q6,C12:R12)</f>
        <v>0</v>
      </c>
      <c r="K20" s="21" t="str">
        <f t="shared" ref="K20:K23" si="0">IFERROR(ROUNDUP($D$27/$D$26,0),"")</f>
        <v/>
      </c>
      <c r="L20" s="21" t="str">
        <f>IFERROR(ROUNDUP(Table6[[#This Row],[Meal]]*Table6[[#This Row],[Meal Rate]],0),"")</f>
        <v/>
      </c>
      <c r="M20" s="21">
        <f>SUM(Table5[Jony])</f>
        <v>0</v>
      </c>
      <c r="N20" s="21" t="str">
        <f>IFERROR(Table6[[#This Row],[Shooping]]-Table6[[#This Row],[Total ]],"")</f>
        <v/>
      </c>
      <c r="O20" s="15"/>
      <c r="P20" s="15"/>
      <c r="Q20" s="15"/>
      <c r="R20" s="15"/>
    </row>
    <row r="21" spans="1:18" s="16" customFormat="1" x14ac:dyDescent="0.3">
      <c r="A21" s="17"/>
      <c r="B21" s="2">
        <v>3</v>
      </c>
      <c r="C21" s="2"/>
      <c r="D21" s="2"/>
      <c r="E21" s="2"/>
      <c r="F21" s="2"/>
      <c r="G21"/>
      <c r="H21" s="15"/>
      <c r="I21" s="21" t="s">
        <v>0</v>
      </c>
      <c r="J21" s="21">
        <f>SUM(C7:Q7,C13:R13)</f>
        <v>0</v>
      </c>
      <c r="K21" s="21" t="str">
        <f t="shared" si="0"/>
        <v/>
      </c>
      <c r="L21" s="21" t="str">
        <f>IFERROR(ROUNDUP(Table6[[#This Row],[Meal]]*Table6[[#This Row],[Meal Rate]],0),"")</f>
        <v/>
      </c>
      <c r="M21" s="21">
        <f>SUM(Table5[Shihab])</f>
        <v>0</v>
      </c>
      <c r="N21" s="21" t="str">
        <f>IFERROR(Table6[[#This Row],[Shooping]]-Table6[[#This Row],[Total ]],"")</f>
        <v/>
      </c>
      <c r="O21" s="15"/>
      <c r="P21" s="15"/>
      <c r="Q21" s="15"/>
      <c r="R21" s="15"/>
    </row>
    <row r="22" spans="1:18" s="16" customFormat="1" x14ac:dyDescent="0.3">
      <c r="A22" s="17"/>
      <c r="B22" s="2">
        <v>4</v>
      </c>
      <c r="C22" s="2"/>
      <c r="D22" s="2"/>
      <c r="E22" s="2"/>
      <c r="F22" s="2"/>
      <c r="G22"/>
      <c r="H22" s="15"/>
      <c r="I22" s="21" t="s">
        <v>4</v>
      </c>
      <c r="J22" s="21">
        <f>SUM(C8:Q8,C14:R14)</f>
        <v>0</v>
      </c>
      <c r="K22" s="21" t="str">
        <f t="shared" si="0"/>
        <v/>
      </c>
      <c r="L22" s="21" t="str">
        <f>IFERROR(ROUNDUP(Table6[[#This Row],[Meal]]*Table6[[#This Row],[Meal Rate]],0),"")</f>
        <v/>
      </c>
      <c r="M22" s="21">
        <f>SUM(Table5[New1])</f>
        <v>0</v>
      </c>
      <c r="N22" s="21" t="str">
        <f>IFERROR(Table6[[#This Row],[Shooping]]-Table6[[#This Row],[Total ]],"")</f>
        <v/>
      </c>
      <c r="O22" s="15"/>
      <c r="P22" s="15"/>
      <c r="Q22" s="15"/>
      <c r="R22" s="15"/>
    </row>
    <row r="23" spans="1:18" s="16" customFormat="1" x14ac:dyDescent="0.3">
      <c r="A23" s="17"/>
      <c r="B23" s="2">
        <v>5</v>
      </c>
      <c r="C23" s="2"/>
      <c r="D23" s="2"/>
      <c r="E23" s="2"/>
      <c r="F23" s="2"/>
      <c r="G23"/>
      <c r="H23" s="15"/>
      <c r="I23" s="21" t="s">
        <v>5</v>
      </c>
      <c r="J23" s="21">
        <f>SUM(C9:Q9,C15:R15)</f>
        <v>0</v>
      </c>
      <c r="K23" s="21" t="str">
        <f t="shared" si="0"/>
        <v/>
      </c>
      <c r="L23" s="21" t="str">
        <f>IFERROR(ROUNDUP(Table6[[#This Row],[Meal]]*Table6[[#This Row],[Meal Rate]],0),"")</f>
        <v/>
      </c>
      <c r="M23" s="21">
        <f>SUM(Table5[new2])</f>
        <v>0</v>
      </c>
      <c r="N23" s="21" t="str">
        <f>IFERROR(Table6[[#This Row],[Shooping]]-Table6[[#This Row],[Total ]],"")</f>
        <v/>
      </c>
      <c r="O23" s="15"/>
      <c r="P23" s="15"/>
      <c r="Q23" s="15"/>
      <c r="R23" s="15"/>
    </row>
    <row r="24" spans="1:18" s="16" customFormat="1" x14ac:dyDescent="0.3">
      <c r="A24" s="17"/>
      <c r="B24" s="2">
        <v>6</v>
      </c>
      <c r="C24" s="2"/>
      <c r="D24" s="2"/>
      <c r="E24" s="2"/>
      <c r="F24" s="2"/>
      <c r="G24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</row>
    <row r="25" spans="1:18" s="16" customFormat="1" ht="15" thickBot="1" x14ac:dyDescent="0.35">
      <c r="A25" s="17"/>
      <c r="B25" s="24"/>
      <c r="C25" s="24"/>
      <c r="D25" s="24"/>
      <c r="E25" s="24"/>
      <c r="F25" s="24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</row>
    <row r="26" spans="1:18" s="16" customFormat="1" x14ac:dyDescent="0.3">
      <c r="A26" s="17"/>
      <c r="B26" s="24"/>
      <c r="C26" s="11" t="s">
        <v>44</v>
      </c>
      <c r="D26" s="12">
        <f>SUM(Table6[Meal])</f>
        <v>0</v>
      </c>
      <c r="E26" s="24"/>
      <c r="F26" s="24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</row>
    <row r="27" spans="1:18" s="16" customFormat="1" ht="15" thickBot="1" x14ac:dyDescent="0.35">
      <c r="A27" s="17"/>
      <c r="B27" s="24"/>
      <c r="C27" s="13" t="s">
        <v>45</v>
      </c>
      <c r="D27" s="14">
        <f>SUM(Table6[Shooping])</f>
        <v>0</v>
      </c>
      <c r="E27" s="24"/>
      <c r="F27" s="24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</row>
    <row r="28" spans="1:18" s="16" customFormat="1" x14ac:dyDescent="0.3">
      <c r="A28" s="17"/>
      <c r="B28" s="18"/>
      <c r="C28" s="18"/>
      <c r="D28" s="18"/>
      <c r="E28" s="18"/>
      <c r="F28" s="18"/>
    </row>
    <row r="29" spans="1:18" hidden="1" x14ac:dyDescent="0.3">
      <c r="A29" s="1"/>
      <c r="B29" s="2"/>
      <c r="C29" s="2"/>
      <c r="D29" s="2"/>
      <c r="E29" s="2"/>
      <c r="F29" s="2"/>
    </row>
    <row r="30" spans="1:18" hidden="1" x14ac:dyDescent="0.3">
      <c r="A30" s="1"/>
      <c r="B30" s="2"/>
      <c r="C30" s="2"/>
      <c r="D30" s="2"/>
      <c r="E30" s="2"/>
      <c r="F30" s="2"/>
    </row>
    <row r="31" spans="1:18" hidden="1" x14ac:dyDescent="0.3">
      <c r="A31" s="1"/>
      <c r="B31" s="2"/>
      <c r="C31" s="2"/>
      <c r="D31" s="2"/>
      <c r="E31" s="2"/>
      <c r="F31" s="2"/>
    </row>
    <row r="32" spans="1:18" hidden="1" x14ac:dyDescent="0.3">
      <c r="A32" s="1"/>
      <c r="B32" s="2"/>
      <c r="C32" s="2"/>
      <c r="D32" s="2"/>
      <c r="E32" s="2"/>
      <c r="F32" s="2"/>
    </row>
    <row r="33" spans="1:6" hidden="1" x14ac:dyDescent="0.3">
      <c r="A33" s="1"/>
      <c r="B33" s="2"/>
      <c r="C33" s="2"/>
      <c r="D33" s="2"/>
      <c r="E33" s="2"/>
      <c r="F33" s="2"/>
    </row>
    <row r="34" spans="1:6" hidden="1" x14ac:dyDescent="0.3">
      <c r="A34" s="1"/>
      <c r="B34" s="2"/>
      <c r="C34" s="2"/>
      <c r="D34" s="2"/>
      <c r="E34" s="2"/>
      <c r="F34" s="2"/>
    </row>
    <row r="35" spans="1:6" hidden="1" x14ac:dyDescent="0.3">
      <c r="A35" s="1"/>
      <c r="B35" s="2"/>
      <c r="C35" s="2"/>
      <c r="D35" s="2"/>
      <c r="E35" s="2"/>
      <c r="F35" s="2"/>
    </row>
    <row r="36" spans="1:6" hidden="1" x14ac:dyDescent="0.3">
      <c r="A36" s="1"/>
      <c r="B36" s="2"/>
      <c r="C36" s="2"/>
      <c r="D36" s="2"/>
      <c r="E36" s="2"/>
      <c r="F36" s="2"/>
    </row>
    <row r="37" spans="1:6" hidden="1" x14ac:dyDescent="0.3">
      <c r="B37" s="2"/>
      <c r="C37" s="2"/>
      <c r="D37" s="2"/>
      <c r="E37" s="2"/>
      <c r="F37" s="2"/>
    </row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</sheetData>
  <mergeCells count="3">
    <mergeCell ref="G2:I3"/>
    <mergeCell ref="D17:E17"/>
    <mergeCell ref="K17:L17"/>
  </mergeCells>
  <conditionalFormatting sqref="N19:N23">
    <cfRule type="cellIs" dxfId="8" priority="2" operator="lessThan">
      <formula>0</formula>
    </cfRule>
    <cfRule type="cellIs" dxfId="9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lear">
                <anchor moveWithCells="1" sizeWithCells="1">
                  <from>
                    <xdr:col>14</xdr:col>
                    <xdr:colOff>464820</xdr:colOff>
                    <xdr:row>17</xdr:row>
                    <xdr:rowOff>22860</xdr:rowOff>
                  </from>
                  <to>
                    <xdr:col>16</xdr:col>
                    <xdr:colOff>335280</xdr:colOff>
                    <xdr:row>19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2023-01-04T14:23:04Z</dcterms:created>
  <dcterms:modified xsi:type="dcterms:W3CDTF">2023-01-04T15:30:58Z</dcterms:modified>
</cp:coreProperties>
</file>