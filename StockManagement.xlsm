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Excel Documents\"/>
    </mc:Choice>
  </mc:AlternateContent>
  <xr:revisionPtr revIDLastSave="0" documentId="13_ncr:1_{486AB667-2CE6-4EFA-8F66-4BFB788D87AB}" xr6:coauthVersionLast="47" xr6:coauthVersionMax="47" xr10:uidLastSave="{00000000-0000-0000-0000-000000000000}"/>
  <bookViews>
    <workbookView xWindow="-108" yWindow="-108" windowWidth="23256" windowHeight="13176" xr2:uid="{B4AEBFC8-748C-4584-8AE3-66EAE4CCDFA3}"/>
  </bookViews>
  <sheets>
    <sheet name="Home" sheetId="1" r:id="rId1"/>
    <sheet name="Sale" sheetId="3" r:id="rId2"/>
    <sheet name="Store-Up" sheetId="2" r:id="rId3"/>
    <sheet name="Expenses" sheetId="4" r:id="rId4"/>
    <sheet name="saleRecords" sheetId="6" r:id="rId5"/>
    <sheet name="StoreRecords" sheetId="7" r:id="rId6"/>
    <sheet name="Collection" sheetId="5" r:id="rId7"/>
    <sheet name="Customer" sheetId="8" r:id="rId8"/>
  </sheets>
  <definedNames>
    <definedName name="customerName">customerTable[[#All],[Name]]</definedName>
  </definedNames>
  <calcPr calcId="191029"/>
  <pivotCaches>
    <pivotCache cacheId="1" r:id="rId9"/>
    <pivotCache cacheId="4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6" l="1"/>
  <c r="A12" i="6"/>
  <c r="A13" i="6"/>
  <c r="A13" i="7"/>
  <c r="M12" i="8" a="1"/>
  <c r="M12" i="8" s="1"/>
  <c r="A14" i="6"/>
  <c r="A15" i="6"/>
  <c r="A16" i="6"/>
  <c r="A17" i="6"/>
  <c r="A18" i="6"/>
  <c r="A9" i="6"/>
  <c r="A10" i="6"/>
  <c r="A19" i="6"/>
  <c r="A20" i="6"/>
  <c r="A21" i="6"/>
  <c r="A14" i="7"/>
  <c r="C7" i="5"/>
  <c r="J11" i="2"/>
  <c r="K11" i="2" s="1"/>
  <c r="B20" i="1"/>
  <c r="A16" i="8"/>
  <c r="C4" i="3"/>
  <c r="A15" i="7"/>
  <c r="A16" i="7"/>
  <c r="A1" i="1"/>
  <c r="A17" i="7"/>
  <c r="A18" i="7"/>
  <c r="F20" i="1"/>
  <c r="E20" i="1"/>
  <c r="A19" i="7"/>
  <c r="D20" i="1"/>
  <c r="C20" i="1"/>
  <c r="A20" i="7"/>
  <c r="A21" i="7"/>
  <c r="A22" i="7"/>
  <c r="A23" i="7"/>
  <c r="A24" i="7"/>
  <c r="A25" i="7"/>
  <c r="A26" i="7"/>
  <c r="C5" i="2"/>
  <c r="E13" i="3"/>
  <c r="F13" i="3" s="1"/>
  <c r="N9" i="3"/>
  <c r="J9" i="3"/>
  <c r="V12" i="3"/>
  <c r="V11" i="3"/>
  <c r="V10" i="3"/>
  <c r="R12" i="3"/>
  <c r="R11" i="3"/>
  <c r="R10" i="3"/>
  <c r="N12" i="3"/>
  <c r="N11" i="3"/>
  <c r="N10" i="3"/>
  <c r="J12" i="3"/>
  <c r="J11" i="3"/>
  <c r="J10" i="3"/>
  <c r="F9" i="3"/>
  <c r="F10" i="3"/>
  <c r="F11" i="3"/>
  <c r="F12" i="3"/>
  <c r="F14" i="3"/>
  <c r="F15" i="3"/>
  <c r="K9" i="2"/>
  <c r="K10" i="2"/>
  <c r="K12" i="2"/>
  <c r="D20" i="8"/>
  <c r="O12" i="2" l="1"/>
  <c r="W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<sst xmlns="http://schemas.openxmlformats.org/spreadsheetml/2006/main" count="214" uniqueCount="73">
  <si>
    <t>Date</t>
  </si>
  <si>
    <t>Fertilizer</t>
  </si>
  <si>
    <t>Uantity</t>
  </si>
  <si>
    <t>Price per unit</t>
  </si>
  <si>
    <t>Expenses per unit</t>
  </si>
  <si>
    <t>:</t>
  </si>
  <si>
    <t>TSP</t>
  </si>
  <si>
    <t>Urea</t>
  </si>
  <si>
    <t>MOP</t>
  </si>
  <si>
    <t>DAP</t>
  </si>
  <si>
    <t>Jib</t>
  </si>
  <si>
    <t>Done</t>
  </si>
  <si>
    <t>Clear</t>
  </si>
  <si>
    <t>Quantity</t>
  </si>
  <si>
    <t>Type</t>
  </si>
  <si>
    <t>Unit price</t>
  </si>
  <si>
    <t>Total</t>
  </si>
  <si>
    <t>Due</t>
  </si>
  <si>
    <t>Name &amp; Address</t>
  </si>
  <si>
    <t>StoreUp</t>
  </si>
  <si>
    <t>Address</t>
  </si>
  <si>
    <t>Phone no.</t>
  </si>
  <si>
    <t>Fertilizer 1</t>
  </si>
  <si>
    <t>Unit Price</t>
  </si>
  <si>
    <t>Sold by</t>
  </si>
  <si>
    <t>Fertilizer 2</t>
  </si>
  <si>
    <t>Fertilizer 3</t>
  </si>
  <si>
    <t>Fertilizer 4</t>
  </si>
  <si>
    <t>Fertilizer 5</t>
  </si>
  <si>
    <t>Sold</t>
  </si>
  <si>
    <t>Sale</t>
  </si>
  <si>
    <t>Price</t>
  </si>
  <si>
    <t>Qantity</t>
  </si>
  <si>
    <t>Expenses</t>
  </si>
  <si>
    <t>Per Unit</t>
  </si>
  <si>
    <t>Customer Name</t>
  </si>
  <si>
    <t>Ratri</t>
  </si>
  <si>
    <t>ADD Customer</t>
  </si>
  <si>
    <t>Name</t>
  </si>
  <si>
    <t>Contact</t>
  </si>
  <si>
    <t>Previous Due</t>
  </si>
  <si>
    <t>Add</t>
  </si>
  <si>
    <t>Mollikar hat</t>
  </si>
  <si>
    <t>Joining Date</t>
  </si>
  <si>
    <t>29/12/2022</t>
  </si>
  <si>
    <t>Rofikul</t>
  </si>
  <si>
    <t>Kalirhat</t>
  </si>
  <si>
    <t>Hajrat</t>
  </si>
  <si>
    <t>Shonalirhat</t>
  </si>
  <si>
    <t>31/03/2020</t>
  </si>
  <si>
    <t>Shalik</t>
  </si>
  <si>
    <t>Gughumara</t>
  </si>
  <si>
    <t>Amount</t>
  </si>
  <si>
    <t>Badsha</t>
  </si>
  <si>
    <t>Monash</t>
  </si>
  <si>
    <t>Ershadul</t>
  </si>
  <si>
    <t>Search Customer</t>
  </si>
  <si>
    <t>Total Due</t>
  </si>
  <si>
    <t>Row Labels</t>
  </si>
  <si>
    <t>(blank)</t>
  </si>
  <si>
    <t>Grand Total</t>
  </si>
  <si>
    <t>Sum of Amount</t>
  </si>
  <si>
    <t>Anisur</t>
  </si>
  <si>
    <t>Refresh</t>
  </si>
  <si>
    <t>Rubel</t>
  </si>
  <si>
    <t>Nageswary</t>
  </si>
  <si>
    <t>There is a Duplicate in your customer list. Please remove the duplicate one!!</t>
  </si>
  <si>
    <t>Sum of Due</t>
  </si>
  <si>
    <t>Purpose</t>
  </si>
  <si>
    <t>Truck Vara</t>
  </si>
  <si>
    <t>Dokan</t>
  </si>
  <si>
    <t>30/12/2022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</si>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</sst>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]mmm\ d\,\ yyyy;@" x16r2:formatCode16="[$-en-AS,1]mmm\ d\,\ yyyy;@"/>
    <numFmt numFmtId="165" formatCode="[$-F800]dddd\,\ mmmm\ dd\,\ yyyy"/>
    <numFmt numFmtId="166" formatCode="[$BDT]\ #,##0.00"/>
    <numFmt numFmtId="167" formatCode="[$BDT]\ #,##0.00;[Red][$BDT]\ #,##0.00"/>
    <numFmt numFmtId="168" formatCode="_-[$BDT]\ * #,##0.00_-;\-[$BDT]\ * #,##0.00_-;_-[$BDT]\ * &quot;-&quot;??_-;_-@_-"/>
    <numFmt numFmtId="169" formatCode="#,##0.00_ ;[Red]\-#,##0.00\ 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color theme="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2" borderId="0" xfId="0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4" borderId="0" xfId="0" applyFill="1"/>
    <xf numFmtId="0" fontId="2" fillId="5" borderId="0" xfId="0" applyFont="1" applyFill="1" applyAlignment="1">
      <alignment horizontal="center"/>
    </xf>
    <xf numFmtId="0" fontId="0" fillId="6" borderId="0" xfId="0" applyFill="1"/>
    <xf numFmtId="0" fontId="6" fillId="0" borderId="0" xfId="0" applyFont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4" borderId="0" xfId="0" applyFont="1" applyFill="1"/>
    <xf numFmtId="164" fontId="2" fillId="0" borderId="0" xfId="0" applyNumberFormat="1" applyFont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7" fillId="0" borderId="0" xfId="0" applyFont="1"/>
    <xf numFmtId="0" fontId="3" fillId="0" borderId="0" xfId="0" applyFont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6" borderId="0" xfId="0" applyNumberFormat="1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14" fontId="0" fillId="6" borderId="0" xfId="0" applyNumberFormat="1" applyFill="1"/>
    <xf numFmtId="14" fontId="0" fillId="4" borderId="0" xfId="0" applyNumberFormat="1" applyFill="1"/>
    <xf numFmtId="0" fontId="0" fillId="0" borderId="10" xfId="0" applyBorder="1"/>
    <xf numFmtId="0" fontId="0" fillId="0" borderId="11" xfId="0" applyBorder="1"/>
    <xf numFmtId="168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9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5" fillId="0" borderId="0" xfId="0" applyFont="1"/>
    <xf numFmtId="169" fontId="0" fillId="0" borderId="0" xfId="0" applyNumberFormat="1"/>
    <xf numFmtId="0" fontId="0" fillId="0" borderId="1" xfId="0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9" fillId="0" borderId="0" xfId="0" applyFont="1" applyAlignment="1">
      <alignment horizontal="center"/>
    </xf>
    <xf numFmtId="0" fontId="2" fillId="8" borderId="0" xfId="0" applyFont="1" applyFill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27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8" formatCode="_-[$BDT]\ * #,##0.00_-;\-[$BDT]\ * #,##0.00_-;_-[$BDT]\ * &quot;-&quot;??_-;_-@_-"/>
    </dxf>
    <dxf>
      <font>
        <b/>
        <i val="0"/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numFmt numFmtId="19" formatCode="m/d/yyyy"/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ale!A1"/><Relationship Id="rId2" Type="http://schemas.openxmlformats.org/officeDocument/2006/relationships/hyperlink" Target="#'Store-Up'!A1"/><Relationship Id="rId1" Type="http://schemas.openxmlformats.org/officeDocument/2006/relationships/hyperlink" Target="#Home!A1"/><Relationship Id="rId5" Type="http://schemas.openxmlformats.org/officeDocument/2006/relationships/hyperlink" Target="#Collection!A1"/><Relationship Id="rId4" Type="http://schemas.openxmlformats.org/officeDocument/2006/relationships/hyperlink" Target="#Expens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hyperlink" Target="#Home!A1"/><Relationship Id="rId4" Type="http://schemas.openxmlformats.org/officeDocument/2006/relationships/hyperlink" Target="#saleRecord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hyperlink" Target="#Home!A1"/><Relationship Id="rId4" Type="http://schemas.openxmlformats.org/officeDocument/2006/relationships/hyperlink" Target="#StoreRecord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hyperlink" Target="#Home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7620</xdr:rowOff>
    </xdr:from>
    <xdr:to>
      <xdr:col>15</xdr:col>
      <xdr:colOff>0</xdr:colOff>
      <xdr:row>4</xdr:row>
      <xdr:rowOff>175260</xdr:rowOff>
    </xdr:to>
    <xdr:sp macro="" textlink="">
      <xdr:nvSpPr>
        <xdr:cNvPr id="2" name="Rectangle: Bevel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193D70-EB3F-BF41-D4D3-886C85D52414}"/>
            </a:ext>
          </a:extLst>
        </xdr:cNvPr>
        <xdr:cNvSpPr/>
      </xdr:nvSpPr>
      <xdr:spPr>
        <a:xfrm>
          <a:off x="3048000" y="7620"/>
          <a:ext cx="6096000" cy="8991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3200" b="0" u="sng">
              <a:latin typeface="Algerian" panose="04020705040A02060702" pitchFamily="82" charset="0"/>
            </a:rPr>
            <a:t>M/S RUHUL</a:t>
          </a:r>
          <a:r>
            <a:rPr lang="en-HK" sz="3200" b="0" u="sng" baseline="0">
              <a:latin typeface="Algerian" panose="04020705040A02060702" pitchFamily="82" charset="0"/>
            </a:rPr>
            <a:t> AMIN TRADERS</a:t>
          </a:r>
          <a:endParaRPr lang="en-HK" sz="3200" b="0" u="sng">
            <a:latin typeface="Algerian" panose="04020705040A02060702" pitchFamily="82" charset="0"/>
          </a:endParaRPr>
        </a:p>
      </xdr:txBody>
    </xdr:sp>
    <xdr:clientData/>
  </xdr:twoCellAnchor>
  <xdr:twoCellAnchor>
    <xdr:from>
      <xdr:col>3</xdr:col>
      <xdr:colOff>15240</xdr:colOff>
      <xdr:row>9</xdr:row>
      <xdr:rowOff>53340</xdr:rowOff>
    </xdr:from>
    <xdr:to>
      <xdr:col>5</xdr:col>
      <xdr:colOff>266700</xdr:colOff>
      <xdr:row>12</xdr:row>
      <xdr:rowOff>160020</xdr:rowOff>
    </xdr:to>
    <xdr:sp macro="" textlink="">
      <xdr:nvSpPr>
        <xdr:cNvPr id="3" name="Rectangle: Diagonal Corners Snipped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778DB6-19E1-8388-06B6-E413B895D747}"/>
            </a:ext>
          </a:extLst>
        </xdr:cNvPr>
        <xdr:cNvSpPr/>
      </xdr:nvSpPr>
      <xdr:spPr>
        <a:xfrm>
          <a:off x="2506980" y="1699260"/>
          <a:ext cx="2011680" cy="655320"/>
        </a:xfrm>
        <a:prstGeom prst="snip2Diag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400" b="1"/>
            <a:t>Store-Up</a:t>
          </a:r>
        </a:p>
      </xdr:txBody>
    </xdr:sp>
    <xdr:clientData/>
  </xdr:twoCellAnchor>
  <xdr:twoCellAnchor>
    <xdr:from>
      <xdr:col>6</xdr:col>
      <xdr:colOff>15240</xdr:colOff>
      <xdr:row>9</xdr:row>
      <xdr:rowOff>68580</xdr:rowOff>
    </xdr:from>
    <xdr:to>
      <xdr:col>8</xdr:col>
      <xdr:colOff>571500</xdr:colOff>
      <xdr:row>12</xdr:row>
      <xdr:rowOff>175260</xdr:rowOff>
    </xdr:to>
    <xdr:sp macro="" textlink="">
      <xdr:nvSpPr>
        <xdr:cNvPr id="4" name="Rectangle: Diagonal Corners Snipped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F6F8016-4F18-E157-E780-0FE44EF87282}"/>
            </a:ext>
          </a:extLst>
        </xdr:cNvPr>
        <xdr:cNvSpPr/>
      </xdr:nvSpPr>
      <xdr:spPr>
        <a:xfrm>
          <a:off x="5067300" y="1714500"/>
          <a:ext cx="1775460" cy="655320"/>
        </a:xfrm>
        <a:prstGeom prst="snip2Diag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400" b="1"/>
            <a:t>Sale</a:t>
          </a:r>
        </a:p>
      </xdr:txBody>
    </xdr:sp>
    <xdr:clientData/>
  </xdr:twoCellAnchor>
  <xdr:twoCellAnchor>
    <xdr:from>
      <xdr:col>9</xdr:col>
      <xdr:colOff>533400</xdr:colOff>
      <xdr:row>9</xdr:row>
      <xdr:rowOff>45720</xdr:rowOff>
    </xdr:from>
    <xdr:to>
      <xdr:col>12</xdr:col>
      <xdr:colOff>480060</xdr:colOff>
      <xdr:row>12</xdr:row>
      <xdr:rowOff>152400</xdr:rowOff>
    </xdr:to>
    <xdr:sp macro="" textlink="">
      <xdr:nvSpPr>
        <xdr:cNvPr id="5" name="Rectangle: Diagonal Corners Snipped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5CF7C08-D267-CACB-A88D-47229FC7FC6F}"/>
            </a:ext>
          </a:extLst>
        </xdr:cNvPr>
        <xdr:cNvSpPr/>
      </xdr:nvSpPr>
      <xdr:spPr>
        <a:xfrm>
          <a:off x="7414260" y="1691640"/>
          <a:ext cx="1775460" cy="655320"/>
        </a:xfrm>
        <a:prstGeom prst="snip2Diag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400" b="1"/>
            <a:t>Expense</a:t>
          </a:r>
        </a:p>
      </xdr:txBody>
    </xdr:sp>
    <xdr:clientData/>
  </xdr:twoCellAnchor>
  <xdr:twoCellAnchor>
    <xdr:from>
      <xdr:col>13</xdr:col>
      <xdr:colOff>403860</xdr:colOff>
      <xdr:row>9</xdr:row>
      <xdr:rowOff>60960</xdr:rowOff>
    </xdr:from>
    <xdr:to>
      <xdr:col>16</xdr:col>
      <xdr:colOff>350520</xdr:colOff>
      <xdr:row>12</xdr:row>
      <xdr:rowOff>167640</xdr:rowOff>
    </xdr:to>
    <xdr:sp macro="" textlink="">
      <xdr:nvSpPr>
        <xdr:cNvPr id="6" name="Rectangle: Diagonal Corners Snipped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CCFB078-3C8C-F5BF-90F9-C0DBB3471E8E}"/>
            </a:ext>
          </a:extLst>
        </xdr:cNvPr>
        <xdr:cNvSpPr/>
      </xdr:nvSpPr>
      <xdr:spPr>
        <a:xfrm>
          <a:off x="9723120" y="1706880"/>
          <a:ext cx="1775460" cy="655320"/>
        </a:xfrm>
        <a:prstGeom prst="snip2Diag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400" b="1"/>
            <a:t>Collection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716280</xdr:colOff>
      <xdr:row>0</xdr:row>
      <xdr:rowOff>22860</xdr:rowOff>
    </xdr:from>
    <xdr:to>
      <xdr:col>16</xdr:col>
      <xdr:colOff>53340</xdr:colOff>
      <xdr:row>5</xdr:row>
      <xdr:rowOff>7620</xdr:rowOff>
    </xdr:to>
    <xdr:sp macro="" textlink="">
      <xdr:nvSpPr>
        <xdr:cNvPr id="2" name="Rectangle: Bevel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0075E6-AB36-4107-95B1-AB278DF561E8}"/>
            </a:ext>
          </a:extLst>
        </xdr:cNvPr>
        <xdr:cNvSpPr/>
      </xdr:nvSpPr>
      <xdr:spPr>
        <a:xfrm>
          <a:off x="4191000" y="22860"/>
          <a:ext cx="5836920" cy="8991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3200" b="0" u="sng">
              <a:latin typeface="Algerian" panose="04020705040A02060702" pitchFamily="82" charset="0"/>
            </a:rPr>
            <a:t>M/S RUHUL</a:t>
          </a:r>
          <a:r>
            <a:rPr lang="en-HK" sz="3200" b="0" u="sng" baseline="0">
              <a:latin typeface="Algerian" panose="04020705040A02060702" pitchFamily="82" charset="0"/>
            </a:rPr>
            <a:t> AMIN TRADERS</a:t>
          </a:r>
          <a:endParaRPr lang="en-HK" sz="3200" b="0" u="sng"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0</xdr:colOff>
      <xdr:row>0</xdr:row>
      <xdr:rowOff>45720</xdr:rowOff>
    </xdr:from>
    <xdr:to>
      <xdr:col>2</xdr:col>
      <xdr:colOff>99060</xdr:colOff>
      <xdr:row>2</xdr:row>
      <xdr:rowOff>83820</xdr:rowOff>
    </xdr:to>
    <xdr:sp macro="" textlink="">
      <xdr:nvSpPr>
        <xdr:cNvPr id="3" name="Double Brace 2">
          <a:extLst>
            <a:ext uri="{FF2B5EF4-FFF2-40B4-BE49-F238E27FC236}">
              <a16:creationId xmlns:a16="http://schemas.microsoft.com/office/drawing/2014/main" id="{34CF486E-C944-4989-9DAC-1A738E68ED20}"/>
            </a:ext>
          </a:extLst>
        </xdr:cNvPr>
        <xdr:cNvSpPr/>
      </xdr:nvSpPr>
      <xdr:spPr>
        <a:xfrm>
          <a:off x="0" y="45720"/>
          <a:ext cx="1318260" cy="403860"/>
        </a:xfrm>
        <a:prstGeom prst="bracePair">
          <a:avLst/>
        </a:prstGeom>
        <a:solidFill>
          <a:schemeClr val="bg2"/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algn="ctr"/>
          <a:r>
            <a:rPr lang="en-HK" sz="1800" b="1">
              <a:solidFill>
                <a:srgbClr val="92D050"/>
              </a:solidFill>
            </a:rPr>
            <a:t>Sale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13</xdr:row>
          <xdr:rowOff>0</xdr:rowOff>
        </xdr:from>
        <xdr:to>
          <xdr:col>11</xdr:col>
          <xdr:colOff>0</xdr:colOff>
          <xdr:row>13</xdr:row>
          <xdr:rowOff>327660</xdr:rowOff>
        </xdr:to>
        <xdr:pic macro="[0]!clearOfSale">
          <xdr:nvPicPr>
            <xdr:cNvPr id="6" name="Picture 5">
              <a:extLst>
                <a:ext uri="{FF2B5EF4-FFF2-40B4-BE49-F238E27FC236}">
                  <a16:creationId xmlns:a16="http://schemas.microsoft.com/office/drawing/2014/main" id="{20F94FE7-961A-CA72-A795-4FA1B383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34" spid="_x0000_s332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829300" y="3566160"/>
              <a:ext cx="655320" cy="3276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220980</xdr:colOff>
          <xdr:row>12</xdr:row>
          <xdr:rowOff>358140</xdr:rowOff>
        </xdr:from>
        <xdr:to>
          <xdr:col>9</xdr:col>
          <xdr:colOff>45720</xdr:colOff>
          <xdr:row>14</xdr:row>
          <xdr:rowOff>110490</xdr:rowOff>
        </xdr:to>
        <xdr:pic macro="[0]!Sale">
          <xdr:nvPicPr>
            <xdr:cNvPr id="19" name="Picture 18">
              <a:extLst>
                <a:ext uri="{FF2B5EF4-FFF2-40B4-BE49-F238E27FC236}">
                  <a16:creationId xmlns:a16="http://schemas.microsoft.com/office/drawing/2014/main" id="{C1240720-A20D-0BD6-998A-E2EE81F221A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34" spid="_x0000_s332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655820" y="3543300"/>
              <a:ext cx="1028700" cy="5143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16</xdr:col>
      <xdr:colOff>1150620</xdr:colOff>
      <xdr:row>0</xdr:row>
      <xdr:rowOff>175260</xdr:rowOff>
    </xdr:from>
    <xdr:to>
      <xdr:col>20</xdr:col>
      <xdr:colOff>457200</xdr:colOff>
      <xdr:row>4</xdr:row>
      <xdr:rowOff>22860</xdr:rowOff>
    </xdr:to>
    <xdr:sp macro="" textlink="">
      <xdr:nvSpPr>
        <xdr:cNvPr id="4" name="Rectangle: Beveled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F29CF3A-5E9C-85DD-DA98-33B103572362}"/>
            </a:ext>
          </a:extLst>
        </xdr:cNvPr>
        <xdr:cNvSpPr/>
      </xdr:nvSpPr>
      <xdr:spPr>
        <a:xfrm>
          <a:off x="9479280" y="175260"/>
          <a:ext cx="1455420" cy="57912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400"/>
            <a:t>Records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0</xdr:row>
      <xdr:rowOff>0</xdr:rowOff>
    </xdr:from>
    <xdr:to>
      <xdr:col>16</xdr:col>
      <xdr:colOff>7620</xdr:colOff>
      <xdr:row>4</xdr:row>
      <xdr:rowOff>167640</xdr:rowOff>
    </xdr:to>
    <xdr:sp macro="" textlink="">
      <xdr:nvSpPr>
        <xdr:cNvPr id="2" name="Rectangle: Bevel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FE653A-B9F8-49BD-9B74-12289DAE11DC}"/>
            </a:ext>
          </a:extLst>
        </xdr:cNvPr>
        <xdr:cNvSpPr/>
      </xdr:nvSpPr>
      <xdr:spPr>
        <a:xfrm>
          <a:off x="3055620" y="0"/>
          <a:ext cx="6096000" cy="8991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3200" b="0" u="sng">
              <a:latin typeface="Algerian" panose="04020705040A02060702" pitchFamily="82" charset="0"/>
            </a:rPr>
            <a:t>M/S RUHUL</a:t>
          </a:r>
          <a:r>
            <a:rPr lang="en-HK" sz="3200" b="0" u="sng" baseline="0">
              <a:latin typeface="Algerian" panose="04020705040A02060702" pitchFamily="82" charset="0"/>
            </a:rPr>
            <a:t> AMIN TRADERS</a:t>
          </a:r>
          <a:endParaRPr lang="en-HK" sz="3200" b="0" u="sng"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0</xdr:colOff>
      <xdr:row>0</xdr:row>
      <xdr:rowOff>45720</xdr:rowOff>
    </xdr:from>
    <xdr:to>
      <xdr:col>3</xdr:col>
      <xdr:colOff>53340</xdr:colOff>
      <xdr:row>2</xdr:row>
      <xdr:rowOff>160020</xdr:rowOff>
    </xdr:to>
    <xdr:sp macro="" textlink="">
      <xdr:nvSpPr>
        <xdr:cNvPr id="3" name="Double Brace 2">
          <a:extLst>
            <a:ext uri="{FF2B5EF4-FFF2-40B4-BE49-F238E27FC236}">
              <a16:creationId xmlns:a16="http://schemas.microsoft.com/office/drawing/2014/main" id="{02C1C8D9-E445-DC87-B752-4E6C08450DD7}"/>
            </a:ext>
          </a:extLst>
        </xdr:cNvPr>
        <xdr:cNvSpPr/>
      </xdr:nvSpPr>
      <xdr:spPr>
        <a:xfrm>
          <a:off x="0" y="45720"/>
          <a:ext cx="1562100" cy="480060"/>
        </a:xfrm>
        <a:prstGeom prst="bracePair">
          <a:avLst/>
        </a:prstGeom>
        <a:solidFill>
          <a:schemeClr val="bg2"/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algn="ctr"/>
          <a:r>
            <a:rPr lang="en-HK" sz="1800" b="1">
              <a:solidFill>
                <a:srgbClr val="00B050"/>
              </a:solidFill>
            </a:rPr>
            <a:t>Store-Up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13</xdr:row>
          <xdr:rowOff>7620</xdr:rowOff>
        </xdr:from>
        <xdr:to>
          <xdr:col>9</xdr:col>
          <xdr:colOff>609600</xdr:colOff>
          <xdr:row>14</xdr:row>
          <xdr:rowOff>175260</xdr:rowOff>
        </xdr:to>
        <xdr:pic macro="[0]!clearOfStoreUp">
          <xdr:nvPicPr>
            <xdr:cNvPr id="6" name="Picture 5">
              <a:extLst>
                <a:ext uri="{FF2B5EF4-FFF2-40B4-BE49-F238E27FC236}">
                  <a16:creationId xmlns:a16="http://schemas.microsoft.com/office/drawing/2014/main" id="{F67B1A36-2E27-7259-7F9A-F6EAA0A402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M$35" spid="_x0000_s231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800600" y="4290060"/>
              <a:ext cx="617220" cy="3505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807720</xdr:colOff>
          <xdr:row>13</xdr:row>
          <xdr:rowOff>7620</xdr:rowOff>
        </xdr:from>
        <xdr:to>
          <xdr:col>11</xdr:col>
          <xdr:colOff>15240</xdr:colOff>
          <xdr:row>14</xdr:row>
          <xdr:rowOff>175260</xdr:rowOff>
        </xdr:to>
        <xdr:pic macro="[0]!StoreUp">
          <xdr:nvPicPr>
            <xdr:cNvPr id="8" name="Picture 7">
              <a:extLst>
                <a:ext uri="{FF2B5EF4-FFF2-40B4-BE49-F238E27FC236}">
                  <a16:creationId xmlns:a16="http://schemas.microsoft.com/office/drawing/2014/main" id="{C91A9720-F7B3-130C-0A6A-D5DB6AE330F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L$35" spid="_x0000_s232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5615940" y="4671060"/>
              <a:ext cx="617220" cy="3505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17</xdr:col>
      <xdr:colOff>0</xdr:colOff>
      <xdr:row>1</xdr:row>
      <xdr:rowOff>0</xdr:rowOff>
    </xdr:from>
    <xdr:to>
      <xdr:col>19</xdr:col>
      <xdr:colOff>236220</xdr:colOff>
      <xdr:row>4</xdr:row>
      <xdr:rowOff>22860</xdr:rowOff>
    </xdr:to>
    <xdr:sp macro="" textlink="">
      <xdr:nvSpPr>
        <xdr:cNvPr id="4" name="Rectangle: Beveled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FE20BC-3CD1-4105-B7B5-0A8FB942B45C}"/>
            </a:ext>
          </a:extLst>
        </xdr:cNvPr>
        <xdr:cNvSpPr/>
      </xdr:nvSpPr>
      <xdr:spPr>
        <a:xfrm>
          <a:off x="10416540" y="182880"/>
          <a:ext cx="1455420" cy="579120"/>
        </a:xfrm>
        <a:prstGeom prst="bevel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400"/>
            <a:t>Records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15</xdr:col>
      <xdr:colOff>0</xdr:colOff>
      <xdr:row>4</xdr:row>
      <xdr:rowOff>167640</xdr:rowOff>
    </xdr:to>
    <xdr:sp macro="" textlink="">
      <xdr:nvSpPr>
        <xdr:cNvPr id="2" name="Rectangle: Bevel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49582F-B482-47E5-B1CD-CA829BB8A096}"/>
            </a:ext>
          </a:extLst>
        </xdr:cNvPr>
        <xdr:cNvSpPr/>
      </xdr:nvSpPr>
      <xdr:spPr>
        <a:xfrm>
          <a:off x="3048000" y="0"/>
          <a:ext cx="6096000" cy="8991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3200" b="0" u="sng">
              <a:latin typeface="Algerian" panose="04020705040A02060702" pitchFamily="82" charset="0"/>
            </a:rPr>
            <a:t>M/S RUHUL</a:t>
          </a:r>
          <a:r>
            <a:rPr lang="en-HK" sz="3200" b="0" u="sng" baseline="0">
              <a:latin typeface="Algerian" panose="04020705040A02060702" pitchFamily="82" charset="0"/>
            </a:rPr>
            <a:t> AMIN TRADERS</a:t>
          </a:r>
          <a:endParaRPr lang="en-HK" sz="3200" b="0" u="sng"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0</xdr:colOff>
      <xdr:row>0</xdr:row>
      <xdr:rowOff>45720</xdr:rowOff>
    </xdr:from>
    <xdr:to>
      <xdr:col>3</xdr:col>
      <xdr:colOff>60960</xdr:colOff>
      <xdr:row>2</xdr:row>
      <xdr:rowOff>160020</xdr:rowOff>
    </xdr:to>
    <xdr:sp macro="" textlink="">
      <xdr:nvSpPr>
        <xdr:cNvPr id="3" name="Double Brace 2">
          <a:extLst>
            <a:ext uri="{FF2B5EF4-FFF2-40B4-BE49-F238E27FC236}">
              <a16:creationId xmlns:a16="http://schemas.microsoft.com/office/drawing/2014/main" id="{D37E568D-4878-470B-A427-240647B3E08B}"/>
            </a:ext>
          </a:extLst>
        </xdr:cNvPr>
        <xdr:cNvSpPr/>
      </xdr:nvSpPr>
      <xdr:spPr>
        <a:xfrm>
          <a:off x="0" y="45720"/>
          <a:ext cx="1889760" cy="480060"/>
        </a:xfrm>
        <a:prstGeom prst="bracePair">
          <a:avLst/>
        </a:prstGeom>
        <a:solidFill>
          <a:schemeClr val="bg2"/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algn="ctr"/>
          <a:r>
            <a:rPr lang="en-HK" sz="1800" b="1">
              <a:solidFill>
                <a:srgbClr val="FF0000"/>
              </a:solidFill>
            </a:rPr>
            <a:t>Expenses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5</xdr:row>
          <xdr:rowOff>167640</xdr:rowOff>
        </xdr:from>
        <xdr:to>
          <xdr:col>1</xdr:col>
          <xdr:colOff>647700</xdr:colOff>
          <xdr:row>6</xdr:row>
          <xdr:rowOff>175260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5F38AAC3-4B3E-FCCA-4389-8158544A7A3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7" spid="_x0000_s517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" y="1082040"/>
              <a:ext cx="617220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</xdr:colOff>
      <xdr:row>0</xdr:row>
      <xdr:rowOff>0</xdr:rowOff>
    </xdr:from>
    <xdr:to>
      <xdr:col>7</xdr:col>
      <xdr:colOff>1127760</xdr:colOff>
      <xdr:row>4</xdr:row>
      <xdr:rowOff>167640</xdr:rowOff>
    </xdr:to>
    <xdr:sp macro="" textlink="">
      <xdr:nvSpPr>
        <xdr:cNvPr id="2" name="Rectangle: Bevel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67BB4B-0E8B-4976-862C-2E81F176559E}"/>
            </a:ext>
          </a:extLst>
        </xdr:cNvPr>
        <xdr:cNvSpPr/>
      </xdr:nvSpPr>
      <xdr:spPr>
        <a:xfrm>
          <a:off x="45720" y="0"/>
          <a:ext cx="5836920" cy="8991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3200" b="0" u="sng">
              <a:latin typeface="Algerian" panose="04020705040A02060702" pitchFamily="82" charset="0"/>
            </a:rPr>
            <a:t>M/S RUHUL</a:t>
          </a:r>
          <a:r>
            <a:rPr lang="en-HK" sz="3200" b="0" u="sng" baseline="0">
              <a:latin typeface="Algerian" panose="04020705040A02060702" pitchFamily="82" charset="0"/>
            </a:rPr>
            <a:t> AMIN TRADERS</a:t>
          </a:r>
          <a:endParaRPr lang="en-HK" sz="3200" b="0" u="sng">
            <a:latin typeface="Algerian" panose="04020705040A02060702" pitchFamily="8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14</xdr:col>
      <xdr:colOff>350520</xdr:colOff>
      <xdr:row>4</xdr:row>
      <xdr:rowOff>167640</xdr:rowOff>
    </xdr:to>
    <xdr:sp macro="" textlink="">
      <xdr:nvSpPr>
        <xdr:cNvPr id="2" name="Rectangle: Bevel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2E3226-1BD9-4028-A937-00EB4383C659}"/>
            </a:ext>
          </a:extLst>
        </xdr:cNvPr>
        <xdr:cNvSpPr/>
      </xdr:nvSpPr>
      <xdr:spPr>
        <a:xfrm>
          <a:off x="3048000" y="0"/>
          <a:ext cx="5836920" cy="8991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3200" b="0" u="sng">
              <a:latin typeface="Algerian" panose="04020705040A02060702" pitchFamily="82" charset="0"/>
            </a:rPr>
            <a:t>M/S RUHUL</a:t>
          </a:r>
          <a:r>
            <a:rPr lang="en-HK" sz="3200" b="0" u="sng" baseline="0">
              <a:latin typeface="Algerian" panose="04020705040A02060702" pitchFamily="82" charset="0"/>
            </a:rPr>
            <a:t> AMIN TRADERS</a:t>
          </a:r>
          <a:endParaRPr lang="en-HK" sz="3200" b="0" u="sng">
            <a:latin typeface="Algerian" panose="04020705040A02060702" pitchFamily="82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15</xdr:col>
      <xdr:colOff>0</xdr:colOff>
      <xdr:row>4</xdr:row>
      <xdr:rowOff>167640</xdr:rowOff>
    </xdr:to>
    <xdr:sp macro="" textlink="">
      <xdr:nvSpPr>
        <xdr:cNvPr id="2" name="Rectangle: Bevel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3E942F-5F40-473D-A034-7427BFAE0302}"/>
            </a:ext>
          </a:extLst>
        </xdr:cNvPr>
        <xdr:cNvSpPr/>
      </xdr:nvSpPr>
      <xdr:spPr>
        <a:xfrm>
          <a:off x="3048000" y="0"/>
          <a:ext cx="6096000" cy="8991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3200" b="0" u="sng">
              <a:latin typeface="Algerian" panose="04020705040A02060702" pitchFamily="82" charset="0"/>
            </a:rPr>
            <a:t>M/S RUHUL</a:t>
          </a:r>
          <a:r>
            <a:rPr lang="en-HK" sz="3200" b="0" u="sng" baseline="0">
              <a:latin typeface="Algerian" panose="04020705040A02060702" pitchFamily="82" charset="0"/>
            </a:rPr>
            <a:t> AMIN TRADERS</a:t>
          </a:r>
          <a:endParaRPr lang="en-HK" sz="3200" b="0" u="sng"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0</xdr:colOff>
      <xdr:row>0</xdr:row>
      <xdr:rowOff>45720</xdr:rowOff>
    </xdr:from>
    <xdr:to>
      <xdr:col>2</xdr:col>
      <xdr:colOff>563880</xdr:colOff>
      <xdr:row>2</xdr:row>
      <xdr:rowOff>160020</xdr:rowOff>
    </xdr:to>
    <xdr:sp macro="" textlink="">
      <xdr:nvSpPr>
        <xdr:cNvPr id="3" name="Double Brace 2">
          <a:extLst>
            <a:ext uri="{FF2B5EF4-FFF2-40B4-BE49-F238E27FC236}">
              <a16:creationId xmlns:a16="http://schemas.microsoft.com/office/drawing/2014/main" id="{D4772290-938C-4C7C-B110-E258DE42667D}"/>
            </a:ext>
          </a:extLst>
        </xdr:cNvPr>
        <xdr:cNvSpPr/>
      </xdr:nvSpPr>
      <xdr:spPr>
        <a:xfrm>
          <a:off x="0" y="45720"/>
          <a:ext cx="1828800" cy="480060"/>
        </a:xfrm>
        <a:prstGeom prst="bracePair">
          <a:avLst/>
        </a:prstGeom>
        <a:solidFill>
          <a:schemeClr val="bg2"/>
        </a:solidFill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algn="ctr"/>
          <a:r>
            <a:rPr lang="en-HK" sz="1800" b="1">
              <a:solidFill>
                <a:schemeClr val="accent6"/>
              </a:solidFill>
            </a:rPr>
            <a:t>Collection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502920</xdr:colOff>
          <xdr:row>12</xdr:row>
          <xdr:rowOff>22860</xdr:rowOff>
        </xdr:from>
        <xdr:to>
          <xdr:col>2</xdr:col>
          <xdr:colOff>510540</xdr:colOff>
          <xdr:row>13</xdr:row>
          <xdr:rowOff>30480</xdr:rowOff>
        </xdr:to>
        <xdr:pic macro="[0]!collection">
          <xdr:nvPicPr>
            <xdr:cNvPr id="4" name="Picture 3">
              <a:extLst>
                <a:ext uri="{FF2B5EF4-FFF2-40B4-BE49-F238E27FC236}">
                  <a16:creationId xmlns:a16="http://schemas.microsoft.com/office/drawing/2014/main" id="{2118A9C3-A11A-6FE8-CCB3-FF9106416BF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23" spid="_x0000_s630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112520" y="2308860"/>
              <a:ext cx="662940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975360</xdr:colOff>
          <xdr:row>32</xdr:row>
          <xdr:rowOff>68580</xdr:rowOff>
        </xdr:from>
        <xdr:to>
          <xdr:col>4</xdr:col>
          <xdr:colOff>510540</xdr:colOff>
          <xdr:row>33</xdr:row>
          <xdr:rowOff>76200</xdr:rowOff>
        </xdr:to>
        <xdr:pic macro="[0]!refreshCollectionPivotTable">
          <xdr:nvPicPr>
            <xdr:cNvPr id="5" name="Picture 4">
              <a:extLst>
                <a:ext uri="{FF2B5EF4-FFF2-40B4-BE49-F238E27FC236}">
                  <a16:creationId xmlns:a16="http://schemas.microsoft.com/office/drawing/2014/main" id="{4C79C39F-7A53-F2BD-EBD2-AC173DA75B7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23" spid="_x0000_s630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101340" y="6012180"/>
              <a:ext cx="617220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1645920</xdr:colOff>
      <xdr:row>0</xdr:row>
      <xdr:rowOff>15240</xdr:rowOff>
    </xdr:from>
    <xdr:to>
      <xdr:col>10</xdr:col>
      <xdr:colOff>175260</xdr:colOff>
      <xdr:row>5</xdr:row>
      <xdr:rowOff>0</xdr:rowOff>
    </xdr:to>
    <xdr:sp macro="" textlink="">
      <xdr:nvSpPr>
        <xdr:cNvPr id="2" name="Rectangle: Bevel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30CA91-A3B9-4BE7-83A9-D0CA21FE002C}"/>
            </a:ext>
          </a:extLst>
        </xdr:cNvPr>
        <xdr:cNvSpPr/>
      </xdr:nvSpPr>
      <xdr:spPr>
        <a:xfrm>
          <a:off x="3596640" y="15240"/>
          <a:ext cx="6263640" cy="8991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3200" b="0" u="sng">
              <a:latin typeface="Algerian" panose="04020705040A02060702" pitchFamily="82" charset="0"/>
            </a:rPr>
            <a:t>M/S RUHUL</a:t>
          </a:r>
          <a:r>
            <a:rPr lang="en-HK" sz="3200" b="0" u="sng" baseline="0">
              <a:latin typeface="Algerian" panose="04020705040A02060702" pitchFamily="82" charset="0"/>
            </a:rPr>
            <a:t> AMIN TRADERS</a:t>
          </a:r>
          <a:endParaRPr lang="en-HK" sz="3200" b="0" u="sng">
            <a:latin typeface="Algerian" panose="04020705040A02060702" pitchFamily="8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45719</xdr:colOff>
          <xdr:row>13</xdr:row>
          <xdr:rowOff>167640</xdr:rowOff>
        </xdr:from>
        <xdr:to>
          <xdr:col>3</xdr:col>
          <xdr:colOff>1249680</xdr:colOff>
          <xdr:row>15</xdr:row>
          <xdr:rowOff>173473</xdr:rowOff>
        </xdr:to>
        <xdr:pic macro="[0]!addCustomer">
          <xdr:nvPicPr>
            <xdr:cNvPr id="3" name="Picture 2">
              <a:extLst>
                <a:ext uri="{FF2B5EF4-FFF2-40B4-BE49-F238E27FC236}">
                  <a16:creationId xmlns:a16="http://schemas.microsoft.com/office/drawing/2014/main" id="{44EEDED6-BCAE-459E-DAD3-711911A5FD3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52" spid="_x0000_s931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996439" y="2697480"/>
              <a:ext cx="1203961" cy="37159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928.525108680558" createdVersion="8" refreshedVersion="8" minRefreshableVersion="3" recordCount="13" xr:uid="{9CF2F7C9-CF33-434D-88CF-D35833978E45}">
  <cacheSource type="worksheet">
    <worksheetSource name="saleTable"/>
  </cacheSource>
  <cacheFields count="8">
    <cacheField name="Date" numFmtId="14">
      <sharedItems containsSemiMixedTypes="0" containsNonDate="0" containsDate="1" containsString="0" minDate="2023-01-02T00:00:00" maxDate="2023-01-03T00:00:00"/>
    </cacheField>
    <cacheField name="Type" numFmtId="0">
      <sharedItems containsBlank="1"/>
    </cacheField>
    <cacheField name="Fertilizer" numFmtId="0">
      <sharedItems containsBlank="1"/>
    </cacheField>
    <cacheField name="Quantity" numFmtId="0">
      <sharedItems containsString="0" containsBlank="1" containsNumber="1" containsInteger="1" minValue="10" maxValue="50"/>
    </cacheField>
    <cacheField name="Unit price" numFmtId="0">
      <sharedItems containsString="0" containsBlank="1" containsNumber="1" containsInteger="1" minValue="300" maxValue="1300"/>
    </cacheField>
    <cacheField name="Total" numFmtId="0">
      <sharedItems containsString="0" containsBlank="1" containsNumber="1" containsInteger="1" minValue="8000" maxValue="37500"/>
    </cacheField>
    <cacheField name="Due" numFmtId="0">
      <sharedItems containsString="0" containsBlank="1" containsNumber="1" containsInteger="1" minValue="5000" maxValue="98798"/>
    </cacheField>
    <cacheField name="Name &amp; Address" numFmtId="0">
      <sharedItems containsBlank="1" count="7">
        <m/>
        <s v="Hajrat"/>
        <s v="Shalik"/>
        <s v="Ershadul"/>
        <s v="Badsha"/>
        <s v="Monash"/>
        <s v="Ratr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930.843701388891" createdVersion="8" refreshedVersion="8" minRefreshableVersion="3" recordCount="16" xr:uid="{453637FF-BB3D-4C90-9FDA-1113BEA54AA2}">
  <cacheSource type="worksheet">
    <worksheetSource name="collectionTable"/>
  </cacheSource>
  <cacheFields count="3">
    <cacheField name="Date" numFmtId="0">
      <sharedItems containsNonDate="0" containsDate="1" containsString="0" containsBlank="1" minDate="2023-01-01T00:00:00" maxDate="2023-01-02T00:00:00"/>
    </cacheField>
    <cacheField name="Name" numFmtId="0">
      <sharedItems containsBlank="1" count="9">
        <m/>
        <s v="Badsha"/>
        <s v="Hajrat"/>
        <s v="Shalik"/>
        <s v="Rubel"/>
        <s v="Rofikul"/>
        <s v="Anisur"/>
        <s v="Monash"/>
        <s v="Ershadul"/>
      </sharedItems>
    </cacheField>
    <cacheField name="Amount" numFmtId="0">
      <sharedItems containsString="0" containsBlank="1" containsNumber="1" containsInteger="1" minValue="900" maxValue="1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d v="2023-01-02T00:00:00"/>
    <m/>
    <m/>
    <m/>
    <m/>
    <m/>
    <m/>
    <x v="0"/>
  </r>
  <r>
    <d v="2023-01-02T00:00:00"/>
    <m/>
    <m/>
    <m/>
    <m/>
    <m/>
    <m/>
    <x v="0"/>
  </r>
  <r>
    <d v="2023-01-02T00:00:00"/>
    <m/>
    <m/>
    <m/>
    <m/>
    <m/>
    <m/>
    <x v="0"/>
  </r>
  <r>
    <d v="2023-01-02T00:00:00"/>
    <s v="Sale"/>
    <s v="TSP"/>
    <n v="10"/>
    <n v="1100"/>
    <n v="11000"/>
    <n v="11000"/>
    <x v="1"/>
  </r>
  <r>
    <d v="2023-01-02T00:00:00"/>
    <s v="Sale"/>
    <s v="Urea"/>
    <n v="20"/>
    <n v="1100"/>
    <n v="22000"/>
    <n v="22000"/>
    <x v="2"/>
  </r>
  <r>
    <d v="2023-01-02T00:00:00"/>
    <s v="Sale"/>
    <s v="MOP"/>
    <n v="50"/>
    <n v="750"/>
    <n v="37500"/>
    <n v="37500"/>
    <x v="3"/>
  </r>
  <r>
    <d v="2023-01-02T00:00:00"/>
    <s v="Sale"/>
    <s v="DAP"/>
    <n v="20"/>
    <n v="790"/>
    <n v="15800"/>
    <n v="15800"/>
    <x v="4"/>
  </r>
  <r>
    <d v="2023-01-02T00:00:00"/>
    <s v="Sale"/>
    <s v="Jib"/>
    <n v="50"/>
    <n v="300"/>
    <n v="15000"/>
    <n v="15000"/>
    <x v="4"/>
  </r>
  <r>
    <d v="2023-01-02T00:00:00"/>
    <s v="Sale"/>
    <s v="TSP"/>
    <n v="20"/>
    <n v="1300"/>
    <n v="26000"/>
    <n v="26000"/>
    <x v="3"/>
  </r>
  <r>
    <d v="2023-01-02T00:00:00"/>
    <s v="Sale"/>
    <s v="DAP"/>
    <n v="10"/>
    <n v="800"/>
    <n v="8000"/>
    <n v="5000"/>
    <x v="5"/>
  </r>
  <r>
    <d v="2023-01-02T00:00:00"/>
    <s v="Sale"/>
    <s v="Urea"/>
    <n v="20"/>
    <n v="1095"/>
    <n v="21900"/>
    <n v="21900"/>
    <x v="4"/>
  </r>
  <r>
    <d v="2023-01-02T00:00:00"/>
    <m/>
    <m/>
    <m/>
    <m/>
    <m/>
    <n v="98798"/>
    <x v="6"/>
  </r>
  <r>
    <d v="2023-01-02T00:00:00"/>
    <m/>
    <m/>
    <m/>
    <m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m/>
    <x v="0"/>
    <m/>
  </r>
  <r>
    <m/>
    <x v="0"/>
    <m/>
  </r>
  <r>
    <d v="2023-01-01T00:00:00"/>
    <x v="1"/>
    <n v="50000"/>
  </r>
  <r>
    <d v="2023-01-01T00:00:00"/>
    <x v="2"/>
    <n v="8000"/>
  </r>
  <r>
    <d v="2023-01-01T00:00:00"/>
    <x v="3"/>
    <n v="900"/>
  </r>
  <r>
    <d v="2023-01-01T00:00:00"/>
    <x v="3"/>
    <n v="900"/>
  </r>
  <r>
    <d v="2023-01-01T00:00:00"/>
    <x v="4"/>
    <n v="2000"/>
  </r>
  <r>
    <d v="2023-01-01T00:00:00"/>
    <x v="4"/>
    <n v="5000"/>
  </r>
  <r>
    <d v="2023-01-01T00:00:00"/>
    <x v="5"/>
    <n v="15000"/>
  </r>
  <r>
    <d v="2023-01-01T00:00:00"/>
    <x v="6"/>
    <n v="2000"/>
  </r>
  <r>
    <d v="2023-01-01T00:00:00"/>
    <x v="7"/>
    <n v="5000"/>
  </r>
  <r>
    <d v="2023-01-01T00:00:00"/>
    <x v="1"/>
    <n v="10000"/>
  </r>
  <r>
    <d v="2023-01-01T00:00:00"/>
    <x v="8"/>
    <n v="150000"/>
  </r>
  <r>
    <d v="2023-01-01T00:00:00"/>
    <x v="1"/>
    <n v="90000"/>
  </r>
  <r>
    <d v="2023-01-01T00:00:00"/>
    <x v="7"/>
    <n v="10000"/>
  </r>
  <r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71663-40E8-435A-BDDB-E725596AE1C7}" name="salePivotTable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23:K31" firstHeaderRow="1" firstDataRow="1" firstDataCol="1"/>
  <pivotFields count="8">
    <pivotField numFmtId="14" showAll="0"/>
    <pivotField showAll="0"/>
    <pivotField showAll="0"/>
    <pivotField showAll="0"/>
    <pivotField showAll="0"/>
    <pivotField showAll="0"/>
    <pivotField dataField="1" showAll="0"/>
    <pivotField axis="axisRow" showAll="0">
      <items count="8">
        <item x="4"/>
        <item x="3"/>
        <item x="5"/>
        <item x="6"/>
        <item x="0"/>
        <item x="2"/>
        <item x="1"/>
        <item t="default"/>
      </items>
    </pivotField>
  </pivotFields>
  <rowFields count="1">
    <field x="7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Du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6F7571-BCD7-4F87-8C10-7E2B0FC9982A}" name="collectionPivotTable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C23:D33" firstHeaderRow="1" firstDataRow="1" firstDataCol="1"/>
  <pivotFields count="3">
    <pivotField showAll="0"/>
    <pivotField axis="axisRow" showAll="0">
      <items count="10">
        <item x="1"/>
        <item x="8"/>
        <item x="7"/>
        <item x="0"/>
        <item x="6"/>
        <item x="5"/>
        <item x="4"/>
        <item x="3"/>
        <item x="2"/>
        <item t="default"/>
      </items>
    </pivotField>
    <pivotField dataField="1"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Amount" fld="2" baseField="0" baseItem="0"/>
  </dataFields>
  <formats count="1">
    <format dxfId="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FD85FF-924C-423E-ABFE-06F73BE6576F}" name="Table2" displayName="Table2" ref="Q7:R12" totalsRowShown="0" headerRowDxfId="24" dataDxfId="23">
  <tableColumns count="2">
    <tableColumn id="1" xr3:uid="{61A4217D-4586-4E37-8A54-110686104914}" name="Fertilizer" dataDxfId="22"/>
    <tableColumn id="2" xr3:uid="{F6671952-487B-4D00-8A34-1239F2D69A3A}" name="Price" dataDxfId="2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772AAC-B4A4-4DE3-817B-29C3C5B3C51C}" name="Table7" displayName="Table7" ref="A9:C16" totalsRowShown="0">
  <autoFilter ref="A9:C16" xr:uid="{C9772AAC-B4A4-4DE3-817B-29C3C5B3C51C}"/>
  <tableColumns count="3">
    <tableColumn id="1" xr3:uid="{A772C7E3-2A55-418B-99C4-FB250B6F64C3}" name="Purpose"/>
    <tableColumn id="2" xr3:uid="{90B1E1E0-EFB4-43EE-8264-0CE1B9AB784D}" name="Amount"/>
    <tableColumn id="3" xr3:uid="{70C82DD8-23BE-4A80-89B9-B9BE941B7EAE}" name="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655B6F-34D8-4743-AB74-8E2710BCB02F}" name="saleTable" displayName="saleTable" ref="A8:H21" totalsRowShown="0" headerRowDxfId="20" dataDxfId="19">
  <tableColumns count="8">
    <tableColumn id="1" xr3:uid="{DE9A4D6A-CE94-4535-B07C-10C936ACAFEE}" name="Date" dataDxfId="18">
      <calculatedColumnFormula>(TODAY())</calculatedColumnFormula>
    </tableColumn>
    <tableColumn id="2" xr3:uid="{5EC6C3AC-13C7-4390-8212-2217DE73D323}" name="Type" dataDxfId="17"/>
    <tableColumn id="3" xr3:uid="{4E4FC1FD-DA5D-43A3-97CF-E7186D92F2DF}" name="Fertilizer" dataDxfId="16"/>
    <tableColumn id="4" xr3:uid="{5E16E351-28C6-444F-9AE1-C69FCF8CBF47}" name="Quantity" dataDxfId="15"/>
    <tableColumn id="5" xr3:uid="{B9A54DE3-7E33-4EAE-BB49-97BCA57B8ED3}" name="Unit price" dataDxfId="14"/>
    <tableColumn id="6" xr3:uid="{8AA23A6F-1675-497E-8396-6045EE1A6095}" name="Total" dataDxfId="13"/>
    <tableColumn id="7" xr3:uid="{CD9B1952-3ADD-4B51-996A-6B9939D4A92F}" name="Due" dataDxfId="12"/>
    <tableColumn id="8" xr3:uid="{0A6078D3-6902-4C40-8DB2-5B7C00FF7FFB}" name="Name &amp; Address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3A92A5-E203-43AC-8ACD-159C52B50B9D}" name="storeTable" displayName="storeTable" ref="A10:E41" totalsRowShown="0" headerRowDxfId="10">
  <tableColumns count="5">
    <tableColumn id="1" xr3:uid="{88A5A774-85AC-4004-8A18-DA26052A96E8}" name="Date"/>
    <tableColumn id="2" xr3:uid="{098920D0-7D1D-4099-B147-16564C15D4BC}" name="Fertilizer"/>
    <tableColumn id="3" xr3:uid="{4EE9629E-65D3-4191-BC72-174F6BA3F16B}" name="Qantity"/>
    <tableColumn id="4" xr3:uid="{E65FC5C2-BB89-4B70-9AF8-40F7127C0F9C}" name="Price"/>
    <tableColumn id="5" xr3:uid="{3AF8CEEE-933C-4749-BD08-19D2F700F6E7}" name="Expens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9BED5C-F09E-483C-8019-CFAD3F0401D9}" name="collectionTable" displayName="collectionTable" ref="J11:L27" totalsRowShown="0" headerRowDxfId="7" dataDxfId="6">
  <autoFilter ref="J11:L27" xr:uid="{E19BED5C-F09E-483C-8019-CFAD3F0401D9}"/>
  <tableColumns count="3">
    <tableColumn id="4" xr3:uid="{F2B752E3-0EC6-4269-A22C-EBE78FAF9B2C}" name="Date" dataDxfId="5"/>
    <tableColumn id="1" xr3:uid="{455D13C5-26F2-40BF-83CC-436B98DF9334}" name="Name" dataDxfId="4"/>
    <tableColumn id="2" xr3:uid="{9827E929-720E-485B-A820-14A76F27F0EB}" name="Amount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3186F7-9503-44E0-B7C3-1ED15F362AFC}" name="customerTable" displayName="customerTable" ref="G8:K14" totalsRowShown="0" headerRowDxfId="0">
  <tableColumns count="5">
    <tableColumn id="1" xr3:uid="{2055978C-88EB-4CE5-B057-68462042C6B6}" name="Name"/>
    <tableColumn id="2" xr3:uid="{3CE8D3C4-E5FC-4999-AD37-580A6E931611}" name="Address"/>
    <tableColumn id="3" xr3:uid="{848A208D-A8D2-4A4F-AD0D-16213264A141}" name="Contact"/>
    <tableColumn id="4" xr3:uid="{2173B144-B21B-4C3A-BBC2-54AF41F559D5}" name="Joining Date"/>
    <tableColumn id="5" xr3:uid="{B480E4F4-8138-4FF6-BA4F-F294B909CCE5}" name="Previous Du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Relationship Id="rId5" Type="http://schemas.openxmlformats.org/officeDocument/2006/relationships/table" Target="../tables/table5.xml"/><Relationship Id="rId4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912DF-6A75-4DFA-B04A-6BBD84B1570A}">
  <sheetPr codeName="Sheet1"/>
  <dimension ref="A1:W35"/>
  <sheetViews>
    <sheetView showGridLines="0" tabSelected="1" workbookViewId="0">
      <selection activeCell="I24" sqref="I24"/>
    </sheetView>
  </sheetViews>
  <sheetFormatPr defaultRowHeight="14.4" x14ac:dyDescent="0.3"/>
  <cols>
    <col min="1" max="1" width="11.44140625" customWidth="1"/>
    <col min="2" max="2" width="14.6640625" bestFit="1" customWidth="1"/>
    <col min="3" max="3" width="12.77734375" customWidth="1"/>
    <col min="4" max="4" width="13.44140625" customWidth="1"/>
    <col min="5" max="5" width="12.21875" customWidth="1"/>
    <col min="6" max="6" width="11.6640625" customWidth="1"/>
  </cols>
  <sheetData>
    <row r="1" spans="1:23" x14ac:dyDescent="0.3">
      <c r="A1" s="63">
        <f ca="1">(TODAY())</f>
        <v>44930</v>
      </c>
      <c r="B1" s="63"/>
      <c r="C1" s="63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3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3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ht="25.8" x14ac:dyDescent="0.3">
      <c r="A19" s="1"/>
      <c r="B19" s="38" t="s">
        <v>7</v>
      </c>
      <c r="C19" s="38" t="s">
        <v>6</v>
      </c>
      <c r="D19" s="38" t="s">
        <v>8</v>
      </c>
      <c r="E19" s="38" t="s">
        <v>9</v>
      </c>
      <c r="F19" s="38" t="s">
        <v>10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ht="25.8" x14ac:dyDescent="0.3">
      <c r="A20" s="1"/>
      <c r="B20" s="38">
        <f>SUMIF(StoreRecords!B:B,Home!B19,StoreRecords!C:C)-SUMIF(saleRecords!C:C,Home!B19,saleRecords!D:D)</f>
        <v>610</v>
      </c>
      <c r="C20" s="38">
        <f>SUMIF(StoreRecords!B:B,Home!C19,StoreRecords!C:C)-SUMIF(saleRecords!C:C,Home!C19,saleRecords!D:D)</f>
        <v>1470</v>
      </c>
      <c r="D20" s="38">
        <f>SUMIF(StoreRecords!B:B,Home!D19,StoreRecords!C:C)-SUMIF(saleRecords!C:C,Home!D19,saleRecords!D:D)</f>
        <v>275</v>
      </c>
      <c r="E20" s="38">
        <f>SUMIF(StoreRecords!B:B,Home!E19,StoreRecords!C:C)-SUMIF(saleRecords!C:C,Home!E19,saleRecords!D:D)</f>
        <v>1392</v>
      </c>
      <c r="F20" s="38">
        <f>SUMIF(StoreRecords!B:B,Home!F19,StoreRecords!C:C)-SUMIF(saleRecords!C:C,Home!F19,saleRecords!D:D)</f>
        <v>2300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</sheetData>
  <mergeCells count="1">
    <mergeCell ref="A1:C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F05C6-F49E-4483-896E-2BB97A8244B4}">
  <sheetPr codeName="Sheet4"/>
  <dimension ref="A4:W34"/>
  <sheetViews>
    <sheetView showGridLines="0" workbookViewId="0"/>
  </sheetViews>
  <sheetFormatPr defaultRowHeight="14.4" x14ac:dyDescent="0.3"/>
  <cols>
    <col min="2" max="2" width="1.5546875" bestFit="1" customWidth="1"/>
    <col min="3" max="3" width="14.6640625" bestFit="1" customWidth="1"/>
    <col min="4" max="4" width="1.5546875" bestFit="1" customWidth="1"/>
    <col min="5" max="5" width="17.88671875" customWidth="1"/>
    <col min="6" max="6" width="2.88671875" customWidth="1"/>
    <col min="7" max="7" width="9.44140625" bestFit="1" customWidth="1"/>
    <col min="8" max="8" width="1.5546875" bestFit="1" customWidth="1"/>
    <col min="9" max="9" width="17.5546875" customWidth="1"/>
    <col min="10" max="10" width="2.88671875" customWidth="1"/>
    <col min="11" max="11" width="9.44140625" bestFit="1" customWidth="1"/>
    <col min="12" max="12" width="1.5546875" bestFit="1" customWidth="1"/>
    <col min="13" max="13" width="17.77734375" customWidth="1"/>
    <col min="14" max="14" width="2.77734375" customWidth="1"/>
    <col min="15" max="15" width="9.44140625" bestFit="1" customWidth="1"/>
    <col min="16" max="16" width="1.5546875" bestFit="1" customWidth="1"/>
    <col min="17" max="17" width="17.6640625" customWidth="1"/>
    <col min="18" max="18" width="2.6640625" customWidth="1"/>
    <col min="19" max="19" width="9.44140625" bestFit="1" customWidth="1"/>
    <col min="20" max="20" width="1.5546875" bestFit="1" customWidth="1"/>
    <col min="21" max="21" width="17.5546875" customWidth="1"/>
    <col min="22" max="22" width="2.77734375" customWidth="1"/>
  </cols>
  <sheetData>
    <row r="4" spans="1:23" x14ac:dyDescent="0.3">
      <c r="A4" s="19" t="s">
        <v>0</v>
      </c>
      <c r="B4" s="2" t="s">
        <v>5</v>
      </c>
      <c r="C4" s="25">
        <f ca="1">(TODAY())</f>
        <v>44930</v>
      </c>
    </row>
    <row r="5" spans="1:23" x14ac:dyDescent="0.3">
      <c r="A5" s="19" t="s">
        <v>14</v>
      </c>
      <c r="B5" s="3" t="s">
        <v>5</v>
      </c>
      <c r="C5" s="3" t="s">
        <v>30</v>
      </c>
    </row>
    <row r="8" spans="1:23" ht="30" customHeight="1" x14ac:dyDescent="0.3">
      <c r="F8" s="20"/>
      <c r="W8">
        <f ca="1">COUNTA(C5,C4,E10,E11,E12,E13)</f>
        <v>3</v>
      </c>
    </row>
    <row r="9" spans="1:23" ht="30" customHeight="1" x14ac:dyDescent="0.3">
      <c r="C9" s="19" t="s">
        <v>35</v>
      </c>
      <c r="D9" s="2" t="s">
        <v>5</v>
      </c>
      <c r="E9" s="3"/>
      <c r="F9" s="21" t="str">
        <f t="shared" ref="F9:F15" si="0">IF(E9="","*",1)</f>
        <v>*</v>
      </c>
      <c r="G9" s="19" t="s">
        <v>20</v>
      </c>
      <c r="H9" s="2" t="s">
        <v>5</v>
      </c>
      <c r="I9" s="3"/>
      <c r="J9" s="21" t="str">
        <f t="shared" ref="J9" si="1">IF(I9="","*",1)</f>
        <v>*</v>
      </c>
      <c r="K9" s="19" t="s">
        <v>21</v>
      </c>
      <c r="L9" s="2" t="s">
        <v>5</v>
      </c>
      <c r="M9" s="3"/>
      <c r="N9" s="21" t="str">
        <f t="shared" ref="N9" si="2">IF(M9="","*",1)</f>
        <v>*</v>
      </c>
    </row>
    <row r="10" spans="1:23" ht="30" customHeight="1" x14ac:dyDescent="0.3">
      <c r="C10" s="19" t="s">
        <v>22</v>
      </c>
      <c r="D10" s="2" t="s">
        <v>5</v>
      </c>
      <c r="E10" s="3"/>
      <c r="F10" s="20" t="str">
        <f t="shared" si="0"/>
        <v>*</v>
      </c>
      <c r="G10" s="19" t="s">
        <v>25</v>
      </c>
      <c r="H10" s="2" t="s">
        <v>5</v>
      </c>
      <c r="I10" s="3"/>
      <c r="J10" s="21" t="str">
        <f t="shared" ref="J10:J12" si="3">IF(I10="","*",1)</f>
        <v>*</v>
      </c>
      <c r="K10" s="19" t="s">
        <v>26</v>
      </c>
      <c r="L10" s="2" t="s">
        <v>5</v>
      </c>
      <c r="M10" s="3"/>
      <c r="N10" s="21" t="str">
        <f t="shared" ref="N10:N12" si="4">IF(M10="","*",1)</f>
        <v>*</v>
      </c>
      <c r="O10" s="19" t="s">
        <v>27</v>
      </c>
      <c r="P10" s="2" t="s">
        <v>5</v>
      </c>
      <c r="Q10" s="3"/>
      <c r="R10" s="21" t="str">
        <f t="shared" ref="R10:R12" si="5">IF(Q10="","*",1)</f>
        <v>*</v>
      </c>
      <c r="S10" s="19" t="s">
        <v>28</v>
      </c>
      <c r="T10" s="2" t="s">
        <v>5</v>
      </c>
      <c r="U10" s="3"/>
      <c r="V10" s="21" t="str">
        <f t="shared" ref="V10:V12" si="6">IF(U10="","*",1)</f>
        <v>*</v>
      </c>
    </row>
    <row r="11" spans="1:23" ht="30" customHeight="1" x14ac:dyDescent="0.3">
      <c r="C11" s="19" t="s">
        <v>13</v>
      </c>
      <c r="D11" s="2" t="s">
        <v>5</v>
      </c>
      <c r="E11" s="3"/>
      <c r="F11" s="20" t="str">
        <f t="shared" si="0"/>
        <v>*</v>
      </c>
      <c r="G11" s="19" t="s">
        <v>13</v>
      </c>
      <c r="H11" s="2" t="s">
        <v>5</v>
      </c>
      <c r="I11" s="3"/>
      <c r="J11" s="21" t="str">
        <f t="shared" si="3"/>
        <v>*</v>
      </c>
      <c r="K11" s="19" t="s">
        <v>13</v>
      </c>
      <c r="L11" s="2" t="s">
        <v>5</v>
      </c>
      <c r="M11" s="3"/>
      <c r="N11" s="21" t="str">
        <f t="shared" si="4"/>
        <v>*</v>
      </c>
      <c r="O11" s="19" t="s">
        <v>13</v>
      </c>
      <c r="P11" s="2" t="s">
        <v>5</v>
      </c>
      <c r="Q11" s="3"/>
      <c r="R11" s="21" t="str">
        <f t="shared" si="5"/>
        <v>*</v>
      </c>
      <c r="S11" s="19" t="s">
        <v>13</v>
      </c>
      <c r="T11" s="2" t="s">
        <v>5</v>
      </c>
      <c r="U11" s="3"/>
      <c r="V11" s="21" t="str">
        <f t="shared" si="6"/>
        <v>*</v>
      </c>
    </row>
    <row r="12" spans="1:23" ht="30" customHeight="1" x14ac:dyDescent="0.3">
      <c r="C12" s="19" t="s">
        <v>23</v>
      </c>
      <c r="D12" s="2" t="s">
        <v>5</v>
      </c>
      <c r="E12" s="3"/>
      <c r="F12" s="20" t="str">
        <f t="shared" si="0"/>
        <v>*</v>
      </c>
      <c r="G12" s="19" t="s">
        <v>23</v>
      </c>
      <c r="H12" s="2" t="s">
        <v>5</v>
      </c>
      <c r="I12" s="3"/>
      <c r="J12" s="21" t="str">
        <f t="shared" si="3"/>
        <v>*</v>
      </c>
      <c r="K12" s="19" t="s">
        <v>23</v>
      </c>
      <c r="L12" s="2" t="s">
        <v>5</v>
      </c>
      <c r="M12" s="3"/>
      <c r="N12" s="21" t="str">
        <f t="shared" si="4"/>
        <v>*</v>
      </c>
      <c r="O12" s="19" t="s">
        <v>23</v>
      </c>
      <c r="P12" s="2" t="s">
        <v>5</v>
      </c>
      <c r="Q12" s="3"/>
      <c r="R12" s="21" t="str">
        <f t="shared" si="5"/>
        <v>*</v>
      </c>
      <c r="S12" s="19" t="s">
        <v>23</v>
      </c>
      <c r="T12" s="2" t="s">
        <v>5</v>
      </c>
      <c r="U12" s="3"/>
      <c r="V12" s="21" t="str">
        <f t="shared" si="6"/>
        <v>*</v>
      </c>
    </row>
    <row r="13" spans="1:23" ht="30" customHeight="1" x14ac:dyDescent="0.3">
      <c r="C13" s="19" t="s">
        <v>16</v>
      </c>
      <c r="D13" s="2" t="s">
        <v>5</v>
      </c>
      <c r="E13" s="3">
        <f>((E11*E12)+(I11*I12)+(M11*M12)+(Q11*Q12)+(U11*U12))</f>
        <v>0</v>
      </c>
      <c r="F13" s="20" t="str">
        <f>IF(E13&lt;1,"*",1)</f>
        <v>*</v>
      </c>
    </row>
    <row r="14" spans="1:23" ht="30" customHeight="1" x14ac:dyDescent="0.3">
      <c r="C14" s="19" t="s">
        <v>17</v>
      </c>
      <c r="D14" s="2" t="s">
        <v>5</v>
      </c>
      <c r="E14" s="3"/>
      <c r="F14" s="21" t="str">
        <f t="shared" si="0"/>
        <v>*</v>
      </c>
    </row>
    <row r="15" spans="1:23" ht="30" customHeight="1" x14ac:dyDescent="0.3">
      <c r="C15" s="19" t="s">
        <v>24</v>
      </c>
      <c r="D15" s="2" t="s">
        <v>5</v>
      </c>
      <c r="E15" s="3"/>
      <c r="F15" s="20" t="str">
        <f t="shared" si="0"/>
        <v>*</v>
      </c>
    </row>
    <row r="18" spans="17:17" x14ac:dyDescent="0.3">
      <c r="Q18" s="34"/>
    </row>
    <row r="34" spans="11:15" ht="25.2" customHeight="1" x14ac:dyDescent="0.3">
      <c r="K34" s="22" t="s">
        <v>12</v>
      </c>
      <c r="O34" s="23" t="s">
        <v>29</v>
      </c>
    </row>
  </sheetData>
  <conditionalFormatting sqref="O34">
    <cfRule type="expression" dxfId="26" priority="1">
      <formula>$W$8&gt;5</formula>
    </cfRule>
  </conditionalFormatting>
  <dataValidations count="2">
    <dataValidation type="list" allowBlank="1" showInputMessage="1" showErrorMessage="1" sqref="E10 I10 M10 Q10 U10" xr:uid="{D0891ED5-5998-4C03-BED2-50632D15F50B}">
      <formula1>"Urea,TSP,MOP,DAP,Jib"</formula1>
    </dataValidation>
    <dataValidation type="list" allowBlank="1" showInputMessage="1" showErrorMessage="1" sqref="E15" xr:uid="{E4F56AED-B1BD-4C73-ABC8-95020733E948}">
      <formula1>"Md. Ruhul Amin,Manager,Oyon,Kanon"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29000CD9-F13A-462A-AD1F-660A7E0B9D89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Flags" iconId="2"/>
            </x14:iconSet>
          </x14:cfRule>
          <xm:sqref>J10:J12</xm:sqref>
        </x14:conditionalFormatting>
        <x14:conditionalFormatting xmlns:xm="http://schemas.microsoft.com/office/excel/2006/main">
          <x14:cfRule type="iconSet" priority="6" id="{C57D19CA-FF52-467A-A914-4F5FCCB50F92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Flags" iconId="2"/>
            </x14:iconSet>
          </x14:cfRule>
          <xm:sqref>N10:N12</xm:sqref>
        </x14:conditionalFormatting>
        <x14:conditionalFormatting xmlns:xm="http://schemas.microsoft.com/office/excel/2006/main">
          <x14:cfRule type="iconSet" priority="5" id="{DFAA556B-3440-4DC7-94C8-11613E47BDF3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Flags" iconId="2"/>
            </x14:iconSet>
          </x14:cfRule>
          <xm:sqref>R10:R12</xm:sqref>
        </x14:conditionalFormatting>
        <x14:conditionalFormatting xmlns:xm="http://schemas.microsoft.com/office/excel/2006/main">
          <x14:cfRule type="iconSet" priority="4" id="{70BA26D4-01C9-4F7D-97CD-B87A0B3B79A8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Flags" iconId="2"/>
            </x14:iconSet>
          </x14:cfRule>
          <xm:sqref>V10:V12</xm:sqref>
        </x14:conditionalFormatting>
        <x14:conditionalFormatting xmlns:xm="http://schemas.microsoft.com/office/excel/2006/main">
          <x14:cfRule type="iconSet" priority="3" id="{F903289E-D32E-4B71-A44D-26690DAADE4B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Flags" iconId="2"/>
            </x14:iconSet>
          </x14:cfRule>
          <xm:sqref>J9</xm:sqref>
        </x14:conditionalFormatting>
        <x14:conditionalFormatting xmlns:xm="http://schemas.microsoft.com/office/excel/2006/main">
          <x14:cfRule type="iconSet" priority="2" id="{16B2DEB6-97C3-4517-BE58-62017F40C57A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Flags" iconId="2"/>
            </x14:iconSet>
          </x14:cfRule>
          <xm:sqref>N9</xm:sqref>
        </x14:conditionalFormatting>
        <x14:conditionalFormatting xmlns:xm="http://schemas.microsoft.com/office/excel/2006/main">
          <x14:cfRule type="iconSet" priority="10" id="{8DE37E1B-02FB-45C6-8E83-6A3E0CAC2D59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Flags" iconId="2"/>
            </x14:iconSet>
          </x14:cfRule>
          <xm:sqref>F8:F15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6B2FE-FD24-40C6-8822-2F3FD7D350A4}">
  <sheetPr codeName="Sheet3"/>
  <dimension ref="A4:W35"/>
  <sheetViews>
    <sheetView showGridLines="0" workbookViewId="0">
      <selection activeCell="I10" sqref="I10"/>
    </sheetView>
  </sheetViews>
  <sheetFormatPr defaultRowHeight="14.4" x14ac:dyDescent="0.3"/>
  <cols>
    <col min="2" max="2" width="1.5546875" bestFit="1" customWidth="1"/>
    <col min="3" max="3" width="11.5546875" bestFit="1" customWidth="1"/>
    <col min="4" max="4" width="11.5546875" customWidth="1"/>
    <col min="8" max="8" width="15.21875" bestFit="1" customWidth="1"/>
    <col min="9" max="9" width="1.5546875" bestFit="1" customWidth="1"/>
    <col min="10" max="10" width="17.77734375" customWidth="1"/>
    <col min="11" max="11" width="2.77734375" customWidth="1"/>
    <col min="17" max="17" width="9.88671875" customWidth="1"/>
  </cols>
  <sheetData>
    <row r="4" spans="1:23" ht="15" thickBot="1" x14ac:dyDescent="0.35"/>
    <row r="5" spans="1:23" x14ac:dyDescent="0.3">
      <c r="A5" s="10" t="s">
        <v>0</v>
      </c>
      <c r="B5" s="11" t="s">
        <v>5</v>
      </c>
      <c r="C5" s="26">
        <f ca="1">(TODAY())</f>
        <v>44930</v>
      </c>
      <c r="D5" s="25"/>
    </row>
    <row r="6" spans="1:23" x14ac:dyDescent="0.3">
      <c r="A6" s="13" t="s">
        <v>14</v>
      </c>
      <c r="B6" s="2" t="s">
        <v>5</v>
      </c>
      <c r="C6" s="4" t="s">
        <v>19</v>
      </c>
      <c r="D6" s="4"/>
    </row>
    <row r="7" spans="1:23" ht="30" customHeight="1" x14ac:dyDescent="0.3">
      <c r="K7" s="28"/>
      <c r="L7" s="27"/>
      <c r="M7" s="27"/>
      <c r="N7" s="27"/>
      <c r="O7" s="9"/>
      <c r="P7" s="9"/>
      <c r="Q7" s="9" t="s">
        <v>1</v>
      </c>
      <c r="R7" s="9" t="s">
        <v>31</v>
      </c>
      <c r="S7" s="9"/>
      <c r="T7" s="27"/>
      <c r="U7" s="27"/>
      <c r="V7" s="27"/>
      <c r="W7" s="27"/>
    </row>
    <row r="8" spans="1:23" ht="30" customHeight="1" thickBot="1" x14ac:dyDescent="0.35">
      <c r="K8" s="28"/>
      <c r="L8" s="27"/>
      <c r="M8" s="27"/>
      <c r="N8" s="60"/>
      <c r="O8" s="60"/>
      <c r="P8" s="60"/>
      <c r="Q8" s="60" t="s">
        <v>7</v>
      </c>
      <c r="R8" s="60">
        <v>1000</v>
      </c>
      <c r="S8" s="60"/>
      <c r="T8" s="60"/>
      <c r="U8" s="27"/>
      <c r="V8" s="27"/>
      <c r="W8" s="27"/>
    </row>
    <row r="9" spans="1:23" ht="30" customHeight="1" x14ac:dyDescent="0.3">
      <c r="H9" s="10" t="s">
        <v>1</v>
      </c>
      <c r="I9" s="11" t="s">
        <v>5</v>
      </c>
      <c r="J9" s="29"/>
      <c r="K9" s="12" t="str">
        <f t="shared" ref="K9:K11" si="0">IF(J9="","*",1)</f>
        <v>*</v>
      </c>
      <c r="L9" s="27"/>
      <c r="M9" s="27"/>
      <c r="N9" s="60"/>
      <c r="O9" s="60"/>
      <c r="P9" s="60"/>
      <c r="Q9" s="60" t="s">
        <v>6</v>
      </c>
      <c r="R9" s="60">
        <v>1000</v>
      </c>
      <c r="S9" s="60"/>
      <c r="T9" s="60"/>
      <c r="U9" s="27"/>
      <c r="V9" s="27"/>
      <c r="W9" s="27"/>
    </row>
    <row r="10" spans="1:23" ht="30" customHeight="1" x14ac:dyDescent="0.3">
      <c r="H10" s="13" t="s">
        <v>2</v>
      </c>
      <c r="I10" s="2" t="s">
        <v>5</v>
      </c>
      <c r="J10" s="3"/>
      <c r="K10" s="14" t="str">
        <f t="shared" si="0"/>
        <v>*</v>
      </c>
      <c r="L10" s="27"/>
      <c r="M10" s="27"/>
      <c r="N10" s="60"/>
      <c r="O10" s="60"/>
      <c r="P10" s="60"/>
      <c r="Q10" s="60" t="s">
        <v>9</v>
      </c>
      <c r="R10" s="60">
        <v>700</v>
      </c>
      <c r="S10" s="60"/>
      <c r="T10" s="60"/>
      <c r="U10" s="27"/>
      <c r="V10" s="27"/>
      <c r="W10" s="27"/>
    </row>
    <row r="11" spans="1:23" ht="30" customHeight="1" x14ac:dyDescent="0.3">
      <c r="H11" s="13" t="s">
        <v>3</v>
      </c>
      <c r="I11" s="2" t="s">
        <v>5</v>
      </c>
      <c r="J11" s="3" t="str">
        <f>IF(J9="","",VLOOKUP(J9,Table2[],2,FALSE))</f>
        <v/>
      </c>
      <c r="K11" s="14" t="str">
        <f t="shared" si="0"/>
        <v>*</v>
      </c>
      <c r="L11" s="27"/>
      <c r="M11" s="27"/>
      <c r="N11" s="60"/>
      <c r="O11" s="60"/>
      <c r="P11" s="60"/>
      <c r="Q11" s="60" t="s">
        <v>8</v>
      </c>
      <c r="R11" s="60">
        <v>650</v>
      </c>
      <c r="S11" s="60"/>
      <c r="T11" s="60"/>
      <c r="U11" s="27"/>
      <c r="V11" s="27"/>
      <c r="W11" s="27"/>
    </row>
    <row r="12" spans="1:23" ht="30" customHeight="1" thickBot="1" x14ac:dyDescent="0.35">
      <c r="H12" s="15" t="s">
        <v>4</v>
      </c>
      <c r="I12" s="16" t="s">
        <v>5</v>
      </c>
      <c r="J12" s="17"/>
      <c r="K12" s="18" t="str">
        <f>IF(J12="","*",1)</f>
        <v>*</v>
      </c>
      <c r="L12" s="27"/>
      <c r="M12" s="27"/>
      <c r="N12" s="60"/>
      <c r="O12" s="60">
        <f ca="1">COUNTA(C5,J9,J10,J11,J12,C6)</f>
        <v>3</v>
      </c>
      <c r="P12" s="60"/>
      <c r="Q12" s="60" t="s">
        <v>10</v>
      </c>
      <c r="R12" s="60">
        <v>260</v>
      </c>
      <c r="S12" s="60"/>
      <c r="T12" s="60"/>
      <c r="U12" s="27"/>
      <c r="V12" s="27"/>
      <c r="W12" s="27"/>
    </row>
    <row r="13" spans="1:23" x14ac:dyDescent="0.3">
      <c r="L13" s="27"/>
      <c r="M13" s="27"/>
      <c r="N13" s="60"/>
      <c r="O13" s="60"/>
      <c r="P13" s="60"/>
      <c r="Q13" s="60"/>
      <c r="R13" s="60"/>
      <c r="S13" s="60"/>
      <c r="T13" s="60"/>
      <c r="U13" s="27"/>
      <c r="V13" s="27"/>
      <c r="W13" s="27"/>
    </row>
    <row r="14" spans="1:23" x14ac:dyDescent="0.3">
      <c r="L14" s="27"/>
      <c r="M14" s="27"/>
      <c r="N14" s="60"/>
      <c r="O14" s="60"/>
      <c r="P14" s="60"/>
      <c r="Q14" s="60"/>
      <c r="R14" s="60"/>
      <c r="S14" s="60"/>
      <c r="T14" s="60"/>
      <c r="U14" s="27"/>
      <c r="V14" s="27"/>
      <c r="W14" s="27"/>
    </row>
    <row r="15" spans="1:23" x14ac:dyDescent="0.3">
      <c r="L15" s="27"/>
      <c r="M15" s="27"/>
      <c r="N15" s="60"/>
      <c r="O15" s="60"/>
      <c r="P15" s="60"/>
      <c r="Q15" s="60"/>
      <c r="R15" s="60"/>
      <c r="S15" s="60"/>
      <c r="T15" s="60"/>
      <c r="U15" s="27"/>
      <c r="V15" s="27"/>
      <c r="W15" s="27"/>
    </row>
    <row r="16" spans="1:23" x14ac:dyDescent="0.3">
      <c r="O16" s="27"/>
      <c r="P16" s="27"/>
      <c r="Q16" s="27"/>
      <c r="R16" s="27"/>
      <c r="S16" s="27"/>
      <c r="T16" s="27"/>
      <c r="U16" s="27"/>
      <c r="V16" s="27"/>
      <c r="W16" s="27"/>
    </row>
    <row r="17" spans="15:23" x14ac:dyDescent="0.3">
      <c r="O17" s="27"/>
      <c r="P17" s="27"/>
      <c r="Q17" s="27"/>
      <c r="R17" s="27"/>
      <c r="S17" s="27"/>
      <c r="T17" s="27"/>
      <c r="U17" s="27"/>
      <c r="V17" s="27"/>
      <c r="W17" s="27"/>
    </row>
    <row r="18" spans="15:23" x14ac:dyDescent="0.3">
      <c r="P18" s="27"/>
      <c r="Q18" s="27"/>
      <c r="R18" s="27"/>
      <c r="S18" s="27"/>
      <c r="T18" s="27"/>
      <c r="U18" s="27"/>
      <c r="V18" s="27"/>
      <c r="W18" s="27"/>
    </row>
    <row r="19" spans="15:23" x14ac:dyDescent="0.3">
      <c r="P19" s="27"/>
      <c r="Q19" s="27"/>
      <c r="R19" s="27"/>
      <c r="S19" s="27"/>
      <c r="T19" s="27"/>
      <c r="U19" s="27"/>
      <c r="V19" s="27"/>
      <c r="W19" s="27"/>
    </row>
    <row r="35" spans="12:13" ht="27" customHeight="1" x14ac:dyDescent="0.3">
      <c r="L35" s="30" t="s">
        <v>11</v>
      </c>
      <c r="M35" s="5" t="s">
        <v>12</v>
      </c>
    </row>
  </sheetData>
  <conditionalFormatting sqref="L35">
    <cfRule type="expression" dxfId="25" priority="1">
      <formula>$O$12=6</formula>
    </cfRule>
  </conditionalFormatting>
  <dataValidations count="1">
    <dataValidation type="list" allowBlank="1" showInputMessage="1" showErrorMessage="1" sqref="J9" xr:uid="{A4B87CF7-F564-444D-B831-9CD6E9C15E0F}">
      <formula1>$Q$8:$Q$12</formula1>
    </dataValidation>
  </dataValidations>
  <pageMargins left="0.7" right="0.7" top="0.75" bottom="0.75" header="0.3" footer="0.3"/>
  <pageSetup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CE778BD6-46FB-4F6D-AFB4-A8BD3A27AA52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Flags" iconId="2"/>
            </x14:iconSet>
          </x14:cfRule>
          <xm:sqref>K7:K12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F1250-777B-4602-9140-51E915DE5BD2}">
  <sheetPr codeName="Sheet5"/>
  <dimension ref="A7:K11"/>
  <sheetViews>
    <sheetView zoomScaleNormal="100" workbookViewId="0"/>
  </sheetViews>
  <sheetFormatPr defaultRowHeight="14.4" x14ac:dyDescent="0.3"/>
  <cols>
    <col min="1" max="1" width="10.109375" bestFit="1" customWidth="1"/>
    <col min="2" max="2" width="9.77734375" customWidth="1"/>
    <col min="3" max="3" width="10.5546875" bestFit="1" customWidth="1"/>
  </cols>
  <sheetData>
    <row r="7" spans="1:11" x14ac:dyDescent="0.3">
      <c r="K7" s="59" t="s">
        <v>72</v>
      </c>
    </row>
    <row r="9" spans="1:11" x14ac:dyDescent="0.3">
      <c r="A9" t="s">
        <v>68</v>
      </c>
      <c r="B9" t="s">
        <v>52</v>
      </c>
      <c r="C9" t="s">
        <v>0</v>
      </c>
    </row>
    <row r="10" spans="1:11" x14ac:dyDescent="0.3">
      <c r="A10" t="s">
        <v>69</v>
      </c>
      <c r="B10">
        <v>22000</v>
      </c>
      <c r="C10" s="34">
        <v>44928</v>
      </c>
    </row>
    <row r="11" spans="1:11" x14ac:dyDescent="0.3">
      <c r="A11" t="s">
        <v>70</v>
      </c>
      <c r="B11">
        <v>460</v>
      </c>
      <c r="C11" t="s">
        <v>71</v>
      </c>
    </row>
  </sheetData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E5E06-BBBD-4DB0-B267-698B19B040BE}">
  <sheetPr codeName="Sheet2"/>
  <dimension ref="A8:K31"/>
  <sheetViews>
    <sheetView topLeftCell="A7" workbookViewId="0">
      <selection activeCell="A20" sqref="A20:A21"/>
    </sheetView>
  </sheetViews>
  <sheetFormatPr defaultRowHeight="14.4" x14ac:dyDescent="0.3"/>
  <cols>
    <col min="1" max="1" width="11.5546875" bestFit="1" customWidth="1"/>
    <col min="3" max="3" width="9.88671875" customWidth="1"/>
    <col min="4" max="4" width="10.21875" customWidth="1"/>
    <col min="5" max="5" width="11" customWidth="1"/>
    <col min="8" max="8" width="16.88671875" customWidth="1"/>
    <col min="10" max="10" width="12.5546875" bestFit="1" customWidth="1"/>
    <col min="11" max="11" width="10.77734375" bestFit="1" customWidth="1"/>
    <col min="12" max="12" width="12.5546875" bestFit="1" customWidth="1"/>
    <col min="13" max="13" width="10.77734375" bestFit="1" customWidth="1"/>
    <col min="14" max="19" width="10.44140625" customWidth="1"/>
  </cols>
  <sheetData>
    <row r="8" spans="1:8" x14ac:dyDescent="0.3">
      <c r="A8" s="7" t="s">
        <v>0</v>
      </c>
      <c r="B8" s="7" t="s">
        <v>14</v>
      </c>
      <c r="C8" s="7" t="s">
        <v>1</v>
      </c>
      <c r="D8" s="7" t="s">
        <v>13</v>
      </c>
      <c r="E8" s="7" t="s">
        <v>15</v>
      </c>
      <c r="F8" s="7" t="s">
        <v>16</v>
      </c>
      <c r="G8" s="7" t="s">
        <v>17</v>
      </c>
      <c r="H8" s="7" t="s">
        <v>18</v>
      </c>
    </row>
    <row r="9" spans="1:8" x14ac:dyDescent="0.3">
      <c r="A9" s="51">
        <f t="shared" ref="A9:A21" ca="1" si="0">(TODAY())</f>
        <v>44930</v>
      </c>
      <c r="B9" s="8"/>
      <c r="C9" s="8"/>
      <c r="D9" s="8"/>
      <c r="E9" s="8"/>
      <c r="F9" s="8"/>
      <c r="G9" s="8"/>
      <c r="H9" s="8"/>
    </row>
    <row r="10" spans="1:8" x14ac:dyDescent="0.3">
      <c r="A10" s="51">
        <f t="shared" ca="1" si="0"/>
        <v>44930</v>
      </c>
      <c r="B10" s="8"/>
      <c r="C10" s="8"/>
      <c r="D10" s="8"/>
      <c r="E10" s="8"/>
      <c r="F10" s="8"/>
      <c r="G10" s="8"/>
      <c r="H10" s="8"/>
    </row>
    <row r="11" spans="1:8" x14ac:dyDescent="0.3">
      <c r="A11" s="51">
        <f ca="1">(TODAY())</f>
        <v>44930</v>
      </c>
      <c r="B11" s="8"/>
      <c r="C11" s="8"/>
      <c r="D11" s="8"/>
      <c r="E11" s="8"/>
      <c r="F11" s="8"/>
      <c r="G11" s="8"/>
      <c r="H11" s="8"/>
    </row>
    <row r="12" spans="1:8" x14ac:dyDescent="0.3">
      <c r="A12" s="36">
        <f ca="1">(TODAY())</f>
        <v>44930</v>
      </c>
      <c r="B12" s="37" t="s">
        <v>30</v>
      </c>
      <c r="C12" s="37" t="s">
        <v>6</v>
      </c>
      <c r="D12" s="37">
        <v>10</v>
      </c>
      <c r="E12" s="37">
        <v>1100</v>
      </c>
      <c r="F12" s="37">
        <v>11000</v>
      </c>
      <c r="G12" s="37">
        <v>11000</v>
      </c>
      <c r="H12" s="3" t="s">
        <v>47</v>
      </c>
    </row>
    <row r="13" spans="1:8" x14ac:dyDescent="0.3">
      <c r="A13" s="36">
        <f ca="1">(TODAY())</f>
        <v>44930</v>
      </c>
      <c r="B13" s="37" t="s">
        <v>30</v>
      </c>
      <c r="C13" s="37" t="s">
        <v>7</v>
      </c>
      <c r="D13" s="37">
        <v>20</v>
      </c>
      <c r="E13" s="37">
        <v>1100</v>
      </c>
      <c r="F13" s="37">
        <v>22000</v>
      </c>
      <c r="G13" s="37">
        <v>22000</v>
      </c>
      <c r="H13" s="3" t="s">
        <v>50</v>
      </c>
    </row>
    <row r="14" spans="1:8" x14ac:dyDescent="0.3">
      <c r="A14" s="36">
        <f t="shared" ref="A14:A18" ca="1" si="1">(TODAY())</f>
        <v>44930</v>
      </c>
      <c r="B14" s="37" t="s">
        <v>30</v>
      </c>
      <c r="C14" s="37" t="s">
        <v>8</v>
      </c>
      <c r="D14" s="37">
        <v>50</v>
      </c>
      <c r="E14" s="37">
        <v>750</v>
      </c>
      <c r="F14" s="37">
        <v>37500</v>
      </c>
      <c r="G14" s="37">
        <v>37500</v>
      </c>
      <c r="H14" s="3" t="s">
        <v>55</v>
      </c>
    </row>
    <row r="15" spans="1:8" x14ac:dyDescent="0.3">
      <c r="A15" s="36">
        <f t="shared" ca="1" si="1"/>
        <v>44930</v>
      </c>
      <c r="B15" s="37" t="s">
        <v>30</v>
      </c>
      <c r="C15" s="37" t="s">
        <v>9</v>
      </c>
      <c r="D15" s="37">
        <v>20</v>
      </c>
      <c r="E15" s="37">
        <v>790</v>
      </c>
      <c r="F15" s="37">
        <v>15800</v>
      </c>
      <c r="G15" s="37">
        <v>15800</v>
      </c>
      <c r="H15" s="3" t="s">
        <v>53</v>
      </c>
    </row>
    <row r="16" spans="1:8" x14ac:dyDescent="0.3">
      <c r="A16" s="36">
        <f t="shared" ca="1" si="1"/>
        <v>44930</v>
      </c>
      <c r="B16" s="37" t="s">
        <v>30</v>
      </c>
      <c r="C16" s="37" t="s">
        <v>10</v>
      </c>
      <c r="D16" s="37">
        <v>50</v>
      </c>
      <c r="E16" s="37">
        <v>300</v>
      </c>
      <c r="F16" s="37">
        <v>15000</v>
      </c>
      <c r="G16" s="37">
        <v>15000</v>
      </c>
      <c r="H16" s="3" t="s">
        <v>53</v>
      </c>
    </row>
    <row r="17" spans="1:11" x14ac:dyDescent="0.3">
      <c r="A17" s="36">
        <f t="shared" ca="1" si="1"/>
        <v>44930</v>
      </c>
      <c r="B17" s="37" t="s">
        <v>30</v>
      </c>
      <c r="C17" s="37" t="s">
        <v>6</v>
      </c>
      <c r="D17" s="37">
        <v>20</v>
      </c>
      <c r="E17" s="37">
        <v>1300</v>
      </c>
      <c r="F17" s="37">
        <v>26000</v>
      </c>
      <c r="G17" s="37">
        <v>26000</v>
      </c>
      <c r="H17" s="3" t="s">
        <v>55</v>
      </c>
    </row>
    <row r="18" spans="1:11" x14ac:dyDescent="0.3">
      <c r="A18" s="36">
        <f t="shared" ca="1" si="1"/>
        <v>44930</v>
      </c>
      <c r="B18" s="37" t="s">
        <v>30</v>
      </c>
      <c r="C18" s="37" t="s">
        <v>9</v>
      </c>
      <c r="D18" s="37">
        <v>10</v>
      </c>
      <c r="E18" s="37">
        <v>800</v>
      </c>
      <c r="F18" s="37">
        <v>8000</v>
      </c>
      <c r="G18" s="37">
        <v>5000</v>
      </c>
      <c r="H18" s="3" t="s">
        <v>54</v>
      </c>
    </row>
    <row r="19" spans="1:11" x14ac:dyDescent="0.3">
      <c r="A19" s="36">
        <f t="shared" ca="1" si="0"/>
        <v>44930</v>
      </c>
      <c r="B19" s="37" t="s">
        <v>30</v>
      </c>
      <c r="C19" s="37" t="s">
        <v>7</v>
      </c>
      <c r="D19" s="37">
        <v>20</v>
      </c>
      <c r="E19" s="37">
        <v>1095</v>
      </c>
      <c r="F19" s="37">
        <v>21900</v>
      </c>
      <c r="G19" s="37">
        <v>21900</v>
      </c>
      <c r="H19" s="3" t="s">
        <v>53</v>
      </c>
    </row>
    <row r="20" spans="1:11" x14ac:dyDescent="0.3">
      <c r="A20" s="52">
        <f t="shared" ca="1" si="0"/>
        <v>44930</v>
      </c>
      <c r="B20" s="6"/>
      <c r="C20" s="6"/>
      <c r="D20" s="6"/>
      <c r="E20" s="6"/>
      <c r="F20" s="6"/>
      <c r="G20" s="6">
        <v>98798</v>
      </c>
      <c r="H20" s="24" t="s">
        <v>36</v>
      </c>
    </row>
    <row r="21" spans="1:11" x14ac:dyDescent="0.3">
      <c r="A21" s="52">
        <f t="shared" ca="1" si="0"/>
        <v>44930</v>
      </c>
      <c r="B21" s="6"/>
      <c r="C21" s="6"/>
      <c r="D21" s="6"/>
      <c r="E21" s="6"/>
      <c r="F21" s="6"/>
      <c r="G21" s="6"/>
      <c r="H21" s="6"/>
    </row>
    <row r="23" spans="1:11" x14ac:dyDescent="0.3">
      <c r="J23" s="56" t="s">
        <v>58</v>
      </c>
      <c r="K23" t="s">
        <v>67</v>
      </c>
    </row>
    <row r="24" spans="1:11" x14ac:dyDescent="0.3">
      <c r="J24" s="57" t="s">
        <v>53</v>
      </c>
      <c r="K24">
        <v>52700</v>
      </c>
    </row>
    <row r="25" spans="1:11" x14ac:dyDescent="0.3">
      <c r="J25" s="57" t="s">
        <v>55</v>
      </c>
      <c r="K25">
        <v>63500</v>
      </c>
    </row>
    <row r="26" spans="1:11" x14ac:dyDescent="0.3">
      <c r="J26" s="57" t="s">
        <v>54</v>
      </c>
      <c r="K26">
        <v>5000</v>
      </c>
    </row>
    <row r="27" spans="1:11" x14ac:dyDescent="0.3">
      <c r="J27" s="57" t="s">
        <v>36</v>
      </c>
      <c r="K27">
        <v>98798</v>
      </c>
    </row>
    <row r="28" spans="1:11" x14ac:dyDescent="0.3">
      <c r="J28" s="57" t="s">
        <v>59</v>
      </c>
    </row>
    <row r="29" spans="1:11" x14ac:dyDescent="0.3">
      <c r="J29" s="57" t="s">
        <v>50</v>
      </c>
      <c r="K29">
        <v>22000</v>
      </c>
    </row>
    <row r="30" spans="1:11" x14ac:dyDescent="0.3">
      <c r="J30" s="57" t="s">
        <v>47</v>
      </c>
      <c r="K30">
        <v>11000</v>
      </c>
    </row>
    <row r="31" spans="1:11" x14ac:dyDescent="0.3">
      <c r="J31" s="57" t="s">
        <v>60</v>
      </c>
      <c r="K31">
        <v>252998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C407B-D660-42A9-AD2E-11FAC952F4F8}">
  <sheetPr codeName="Sheet7"/>
  <dimension ref="A9:H28"/>
  <sheetViews>
    <sheetView workbookViewId="0">
      <selection activeCell="D14" sqref="D14"/>
    </sheetView>
  </sheetViews>
  <sheetFormatPr defaultRowHeight="14.4" x14ac:dyDescent="0.3"/>
  <cols>
    <col min="1" max="1" width="11.5546875" bestFit="1" customWidth="1"/>
    <col min="2" max="2" width="12.44140625" customWidth="1"/>
    <col min="3" max="3" width="10.88671875" customWidth="1"/>
    <col min="4" max="4" width="8.88671875" customWidth="1"/>
    <col min="5" max="5" width="12.6640625" customWidth="1"/>
  </cols>
  <sheetData>
    <row r="9" spans="1:5" ht="18" x14ac:dyDescent="0.35">
      <c r="D9" s="64" t="s">
        <v>34</v>
      </c>
      <c r="E9" s="64"/>
    </row>
    <row r="10" spans="1:5" ht="18" x14ac:dyDescent="0.35">
      <c r="A10" s="32" t="s">
        <v>0</v>
      </c>
      <c r="B10" s="32" t="s">
        <v>1</v>
      </c>
      <c r="C10" s="32" t="s">
        <v>32</v>
      </c>
      <c r="D10" s="32" t="s">
        <v>31</v>
      </c>
      <c r="E10" s="32" t="s">
        <v>33</v>
      </c>
    </row>
    <row r="13" spans="1:5" x14ac:dyDescent="0.3">
      <c r="A13" s="35">
        <f ca="1">(TODAY())</f>
        <v>44930</v>
      </c>
      <c r="B13" s="31" t="s">
        <v>9</v>
      </c>
      <c r="C13" s="31">
        <v>400</v>
      </c>
      <c r="D13" s="31">
        <v>700</v>
      </c>
      <c r="E13" s="31">
        <v>45</v>
      </c>
    </row>
    <row r="14" spans="1:5" x14ac:dyDescent="0.3">
      <c r="A14" s="35">
        <f ca="1">(TODAY())</f>
        <v>44930</v>
      </c>
      <c r="B14" s="31" t="s">
        <v>7</v>
      </c>
      <c r="C14" s="31">
        <v>100</v>
      </c>
      <c r="D14" s="31">
        <v>1000</v>
      </c>
      <c r="E14" s="31">
        <v>11</v>
      </c>
    </row>
    <row r="15" spans="1:5" x14ac:dyDescent="0.3">
      <c r="A15" s="35">
        <f ca="1">(TODAY())</f>
        <v>44930</v>
      </c>
      <c r="B15" s="31" t="s">
        <v>8</v>
      </c>
      <c r="C15" s="31">
        <v>200</v>
      </c>
      <c r="D15" s="31">
        <v>650</v>
      </c>
      <c r="E15" s="31">
        <v>34</v>
      </c>
    </row>
    <row r="16" spans="1:5" x14ac:dyDescent="0.3">
      <c r="A16" s="35">
        <f ca="1">(TODAY())</f>
        <v>44930</v>
      </c>
      <c r="B16" s="31" t="s">
        <v>7</v>
      </c>
      <c r="C16" s="31">
        <v>200</v>
      </c>
      <c r="D16" s="31">
        <v>1000</v>
      </c>
      <c r="E16" s="31">
        <v>10</v>
      </c>
    </row>
    <row r="17" spans="1:8" x14ac:dyDescent="0.3">
      <c r="A17" s="35">
        <f t="shared" ref="A17:A26" ca="1" si="0">(TODAY())</f>
        <v>44930</v>
      </c>
      <c r="B17" s="31" t="s">
        <v>10</v>
      </c>
      <c r="C17" s="31">
        <v>5</v>
      </c>
      <c r="D17" s="31">
        <v>260</v>
      </c>
      <c r="E17" s="31">
        <v>34</v>
      </c>
    </row>
    <row r="18" spans="1:8" x14ac:dyDescent="0.3">
      <c r="A18" s="35">
        <f t="shared" ca="1" si="0"/>
        <v>44930</v>
      </c>
      <c r="B18" s="31" t="s">
        <v>9</v>
      </c>
      <c r="C18" s="31">
        <v>122</v>
      </c>
      <c r="D18" s="31">
        <v>700</v>
      </c>
      <c r="E18" s="31">
        <v>23</v>
      </c>
    </row>
    <row r="19" spans="1:8" x14ac:dyDescent="0.3">
      <c r="A19" s="35">
        <f t="shared" ca="1" si="0"/>
        <v>44930</v>
      </c>
      <c r="B19" s="31" t="s">
        <v>8</v>
      </c>
      <c r="C19" s="31">
        <v>125</v>
      </c>
      <c r="D19" s="31">
        <v>650</v>
      </c>
      <c r="E19" s="31">
        <v>23</v>
      </c>
    </row>
    <row r="20" spans="1:8" x14ac:dyDescent="0.3">
      <c r="A20" s="35">
        <f t="shared" ca="1" si="0"/>
        <v>44930</v>
      </c>
      <c r="B20" s="31" t="s">
        <v>6</v>
      </c>
      <c r="C20" s="31">
        <v>500</v>
      </c>
      <c r="D20" s="31">
        <v>1000</v>
      </c>
      <c r="E20" s="31">
        <v>56</v>
      </c>
    </row>
    <row r="21" spans="1:8" x14ac:dyDescent="0.3">
      <c r="A21" s="35">
        <f t="shared" ca="1" si="0"/>
        <v>44930</v>
      </c>
      <c r="B21" s="31" t="s">
        <v>7</v>
      </c>
      <c r="C21" s="31">
        <v>52</v>
      </c>
      <c r="D21" s="31">
        <v>1000</v>
      </c>
      <c r="E21" s="31">
        <v>9</v>
      </c>
    </row>
    <row r="22" spans="1:8" x14ac:dyDescent="0.3">
      <c r="A22" s="35">
        <f t="shared" ca="1" si="0"/>
        <v>44930</v>
      </c>
      <c r="B22" s="31" t="s">
        <v>6</v>
      </c>
      <c r="C22" s="31">
        <v>900</v>
      </c>
      <c r="D22" s="31">
        <v>1000</v>
      </c>
      <c r="E22" s="31">
        <v>45</v>
      </c>
    </row>
    <row r="23" spans="1:8" x14ac:dyDescent="0.3">
      <c r="A23" s="35">
        <f t="shared" ca="1" si="0"/>
        <v>44930</v>
      </c>
      <c r="B23" s="31" t="s">
        <v>9</v>
      </c>
      <c r="C23" s="31">
        <v>900</v>
      </c>
      <c r="D23" s="31">
        <v>700</v>
      </c>
      <c r="E23" s="31">
        <v>34</v>
      </c>
    </row>
    <row r="24" spans="1:8" x14ac:dyDescent="0.3">
      <c r="A24" s="35">
        <f t="shared" ca="1" si="0"/>
        <v>44930</v>
      </c>
      <c r="B24" s="31" t="s">
        <v>10</v>
      </c>
      <c r="C24" s="31">
        <v>2345</v>
      </c>
      <c r="D24" s="31">
        <v>260</v>
      </c>
      <c r="E24" s="31">
        <v>12</v>
      </c>
    </row>
    <row r="25" spans="1:8" x14ac:dyDescent="0.3">
      <c r="A25" s="35">
        <f t="shared" ca="1" si="0"/>
        <v>44930</v>
      </c>
      <c r="B25" s="31" t="s">
        <v>7</v>
      </c>
      <c r="C25" s="31">
        <v>298</v>
      </c>
      <c r="D25" s="31">
        <v>1000</v>
      </c>
      <c r="E25" s="31">
        <v>6</v>
      </c>
    </row>
    <row r="26" spans="1:8" x14ac:dyDescent="0.3">
      <c r="A26" s="35">
        <f t="shared" ca="1" si="0"/>
        <v>44930</v>
      </c>
      <c r="B26" s="31" t="s">
        <v>6</v>
      </c>
      <c r="C26" s="31">
        <v>100</v>
      </c>
      <c r="D26" s="31">
        <v>1000</v>
      </c>
      <c r="E26" s="31">
        <v>34</v>
      </c>
    </row>
    <row r="28" spans="1:8" x14ac:dyDescent="0.3">
      <c r="F28" s="33"/>
      <c r="G28" s="33"/>
      <c r="H28" s="33"/>
    </row>
  </sheetData>
  <mergeCells count="1">
    <mergeCell ref="D9:E9"/>
  </mergeCells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F2121-2796-468C-9598-E437C626D6E0}">
  <sheetPr codeName="Sheet6"/>
  <dimension ref="A4:L33"/>
  <sheetViews>
    <sheetView topLeftCell="A7" workbookViewId="0">
      <selection activeCell="F27" sqref="F27"/>
    </sheetView>
  </sheetViews>
  <sheetFormatPr defaultRowHeight="14.4" x14ac:dyDescent="0.3"/>
  <cols>
    <col min="2" max="2" width="9.5546875" bestFit="1" customWidth="1"/>
    <col min="3" max="3" width="12.5546875" bestFit="1" customWidth="1"/>
    <col min="4" max="4" width="15.77734375" bestFit="1" customWidth="1"/>
    <col min="10" max="10" width="16.77734375" customWidth="1"/>
    <col min="11" max="11" width="22.6640625" customWidth="1"/>
    <col min="12" max="12" width="12.6640625" customWidth="1"/>
  </cols>
  <sheetData>
    <row r="4" spans="1:12" x14ac:dyDescent="0.3">
      <c r="A4" t="s">
        <v>0</v>
      </c>
      <c r="B4" s="34">
        <v>44927</v>
      </c>
    </row>
    <row r="7" spans="1:12" x14ac:dyDescent="0.3">
      <c r="C7">
        <f>COUNTA(C11,C12)</f>
        <v>0</v>
      </c>
    </row>
    <row r="11" spans="1:12" ht="18" x14ac:dyDescent="0.35">
      <c r="B11" s="49" t="s">
        <v>38</v>
      </c>
      <c r="C11" s="31"/>
      <c r="D11" s="31"/>
      <c r="J11" s="48" t="s">
        <v>0</v>
      </c>
      <c r="K11" s="48" t="s">
        <v>38</v>
      </c>
      <c r="L11" s="48" t="s">
        <v>52</v>
      </c>
    </row>
    <row r="12" spans="1:12" ht="18" x14ac:dyDescent="0.35">
      <c r="B12" s="49" t="s">
        <v>52</v>
      </c>
      <c r="C12" s="31"/>
      <c r="D12" s="31"/>
      <c r="J12" s="42"/>
      <c r="K12" s="42"/>
      <c r="L12" s="42"/>
    </row>
    <row r="13" spans="1:12" x14ac:dyDescent="0.3">
      <c r="J13" s="42"/>
      <c r="K13" s="42"/>
      <c r="L13" s="42"/>
    </row>
    <row r="14" spans="1:12" x14ac:dyDescent="0.3">
      <c r="J14" s="34">
        <v>44927</v>
      </c>
      <c r="K14" s="31" t="s">
        <v>53</v>
      </c>
      <c r="L14" s="31">
        <v>50000</v>
      </c>
    </row>
    <row r="15" spans="1:12" x14ac:dyDescent="0.3">
      <c r="J15" s="34">
        <v>44927</v>
      </c>
      <c r="K15" s="31" t="s">
        <v>47</v>
      </c>
      <c r="L15" s="31">
        <v>8000</v>
      </c>
    </row>
    <row r="16" spans="1:12" x14ac:dyDescent="0.3">
      <c r="J16" s="34">
        <v>44927</v>
      </c>
      <c r="K16" s="31" t="s">
        <v>50</v>
      </c>
      <c r="L16" s="31">
        <v>900</v>
      </c>
    </row>
    <row r="17" spans="1:12" x14ac:dyDescent="0.3">
      <c r="J17" s="34">
        <v>44927</v>
      </c>
      <c r="K17" s="31" t="s">
        <v>50</v>
      </c>
      <c r="L17" s="31">
        <v>900</v>
      </c>
    </row>
    <row r="18" spans="1:12" x14ac:dyDescent="0.3">
      <c r="J18" s="34">
        <v>44927</v>
      </c>
      <c r="K18" s="31" t="s">
        <v>64</v>
      </c>
      <c r="L18" s="31">
        <v>2000</v>
      </c>
    </row>
    <row r="19" spans="1:12" x14ac:dyDescent="0.3">
      <c r="J19" s="34">
        <v>44927</v>
      </c>
      <c r="K19" s="31" t="s">
        <v>64</v>
      </c>
      <c r="L19" s="31">
        <v>5000</v>
      </c>
    </row>
    <row r="20" spans="1:12" x14ac:dyDescent="0.3">
      <c r="J20" s="34">
        <v>44927</v>
      </c>
      <c r="K20" s="31" t="s">
        <v>45</v>
      </c>
      <c r="L20" s="31">
        <v>15000</v>
      </c>
    </row>
    <row r="21" spans="1:12" x14ac:dyDescent="0.3">
      <c r="J21" s="34">
        <v>44927</v>
      </c>
      <c r="K21" s="31" t="s">
        <v>62</v>
      </c>
      <c r="L21" s="31">
        <v>2000</v>
      </c>
    </row>
    <row r="22" spans="1:12" x14ac:dyDescent="0.3">
      <c r="J22" s="34">
        <v>44927</v>
      </c>
      <c r="K22" s="31" t="s">
        <v>54</v>
      </c>
      <c r="L22" s="31">
        <v>5000</v>
      </c>
    </row>
    <row r="23" spans="1:12" x14ac:dyDescent="0.3">
      <c r="A23" s="58" t="s">
        <v>63</v>
      </c>
      <c r="B23" s="50" t="s">
        <v>11</v>
      </c>
      <c r="C23" s="56" t="s">
        <v>58</v>
      </c>
      <c r="D23" s="55" t="s">
        <v>61</v>
      </c>
      <c r="J23" s="34">
        <v>44927</v>
      </c>
      <c r="K23" s="31" t="s">
        <v>53</v>
      </c>
      <c r="L23" s="31">
        <v>10000</v>
      </c>
    </row>
    <row r="24" spans="1:12" x14ac:dyDescent="0.3">
      <c r="C24" s="57" t="s">
        <v>53</v>
      </c>
      <c r="D24" s="66">
        <v>150000</v>
      </c>
      <c r="J24" s="34">
        <v>44927</v>
      </c>
      <c r="K24" s="31" t="s">
        <v>55</v>
      </c>
      <c r="L24" s="31">
        <v>150000</v>
      </c>
    </row>
    <row r="25" spans="1:12" x14ac:dyDescent="0.3">
      <c r="C25" s="57" t="s">
        <v>55</v>
      </c>
      <c r="D25" s="66">
        <v>150000</v>
      </c>
      <c r="J25" s="34">
        <v>44927</v>
      </c>
      <c r="K25" s="31" t="s">
        <v>53</v>
      </c>
      <c r="L25" s="31">
        <v>90000</v>
      </c>
    </row>
    <row r="26" spans="1:12" x14ac:dyDescent="0.3">
      <c r="C26" s="57" t="s">
        <v>54</v>
      </c>
      <c r="D26" s="66">
        <v>15000</v>
      </c>
      <c r="J26" s="34">
        <v>44927</v>
      </c>
      <c r="K26" s="31" t="s">
        <v>54</v>
      </c>
      <c r="L26" s="31">
        <v>10000</v>
      </c>
    </row>
    <row r="27" spans="1:12" x14ac:dyDescent="0.3">
      <c r="C27" s="57" t="s">
        <v>59</v>
      </c>
      <c r="D27" s="66"/>
      <c r="J27" s="42"/>
      <c r="K27" s="42"/>
      <c r="L27" s="42"/>
    </row>
    <row r="28" spans="1:12" x14ac:dyDescent="0.3">
      <c r="C28" s="57" t="s">
        <v>62</v>
      </c>
      <c r="D28" s="66">
        <v>2000</v>
      </c>
    </row>
    <row r="29" spans="1:12" x14ac:dyDescent="0.3">
      <c r="C29" s="57" t="s">
        <v>45</v>
      </c>
      <c r="D29" s="66">
        <v>15000</v>
      </c>
    </row>
    <row r="30" spans="1:12" x14ac:dyDescent="0.3">
      <c r="B30" s="31"/>
      <c r="C30" s="57" t="s">
        <v>64</v>
      </c>
      <c r="D30" s="66">
        <v>7000</v>
      </c>
    </row>
    <row r="31" spans="1:12" x14ac:dyDescent="0.3">
      <c r="C31" s="57" t="s">
        <v>50</v>
      </c>
      <c r="D31" s="66">
        <v>1800</v>
      </c>
    </row>
    <row r="32" spans="1:12" x14ac:dyDescent="0.3">
      <c r="C32" s="57" t="s">
        <v>47</v>
      </c>
      <c r="D32" s="66">
        <v>8000</v>
      </c>
    </row>
    <row r="33" spans="3:4" x14ac:dyDescent="0.3">
      <c r="C33" s="57" t="s">
        <v>60</v>
      </c>
      <c r="D33" s="66">
        <v>348800</v>
      </c>
    </row>
  </sheetData>
  <conditionalFormatting sqref="B23">
    <cfRule type="expression" dxfId="9" priority="1">
      <formula>$C$7=2</formula>
    </cfRule>
  </conditionalFormatting>
  <dataValidations count="1">
    <dataValidation type="list" allowBlank="1" showInputMessage="1" showErrorMessage="1" sqref="C11 K14:K17" xr:uid="{6DFC8907-5041-4FB8-B8E8-A9988EB4B03A}">
      <formula1>customerName</formula1>
    </dataValidation>
  </dataValidations>
  <pageMargins left="0.7" right="0.7" top="0.75" bottom="0.75" header="0.3" footer="0.3"/>
  <pageSetup orientation="portrait" r:id="rId2"/>
  <drawing r:id="rId3"/>
  <legacyDrawing r:id="rId4"/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50737-4BC4-453C-8131-727423A4AA7A}">
  <sheetPr codeName="Sheet8"/>
  <dimension ref="A3:P52"/>
  <sheetViews>
    <sheetView topLeftCell="A4" workbookViewId="0">
      <selection activeCell="D19" sqref="D19"/>
    </sheetView>
  </sheetViews>
  <sheetFormatPr defaultRowHeight="14.4" x14ac:dyDescent="0.3"/>
  <cols>
    <col min="2" max="2" width="18" bestFit="1" customWidth="1"/>
    <col min="3" max="3" width="1.5546875" bestFit="1" customWidth="1"/>
    <col min="4" max="4" width="26.5546875" customWidth="1"/>
    <col min="7" max="7" width="17.5546875" customWidth="1"/>
    <col min="8" max="8" width="20.88671875" customWidth="1"/>
    <col min="9" max="9" width="14.77734375" customWidth="1"/>
    <col min="10" max="10" width="16.5546875" customWidth="1"/>
    <col min="11" max="11" width="14.33203125" bestFit="1" customWidth="1"/>
  </cols>
  <sheetData>
    <row r="3" spans="1:15" x14ac:dyDescent="0.3">
      <c r="O3" s="9" t="s">
        <v>66</v>
      </c>
    </row>
    <row r="8" spans="1:15" ht="15.6" x14ac:dyDescent="0.3">
      <c r="B8" s="65" t="s">
        <v>37</v>
      </c>
      <c r="C8" s="65"/>
      <c r="G8" s="44" t="s">
        <v>38</v>
      </c>
      <c r="H8" s="44" t="s">
        <v>20</v>
      </c>
      <c r="I8" s="44" t="s">
        <v>39</v>
      </c>
      <c r="J8" s="44" t="s">
        <v>43</v>
      </c>
      <c r="K8" s="44" t="s">
        <v>40</v>
      </c>
    </row>
    <row r="9" spans="1:15" ht="21" x14ac:dyDescent="0.3">
      <c r="B9" s="39" t="s">
        <v>38</v>
      </c>
      <c r="C9" s="19" t="s">
        <v>5</v>
      </c>
      <c r="D9" s="40"/>
      <c r="G9" s="44"/>
      <c r="H9" s="44"/>
      <c r="I9" s="44"/>
      <c r="J9" s="44"/>
      <c r="K9" s="44"/>
    </row>
    <row r="10" spans="1:15" ht="21" x14ac:dyDescent="0.3">
      <c r="B10" s="39" t="s">
        <v>20</v>
      </c>
      <c r="C10" s="19" t="s">
        <v>5</v>
      </c>
      <c r="D10" s="40"/>
      <c r="G10" s="44" t="s">
        <v>54</v>
      </c>
      <c r="H10" s="44" t="s">
        <v>65</v>
      </c>
      <c r="I10" s="44">
        <v>918272161</v>
      </c>
      <c r="J10" s="44">
        <v>41396</v>
      </c>
      <c r="K10" s="47"/>
    </row>
    <row r="11" spans="1:15" ht="21" x14ac:dyDescent="0.3">
      <c r="B11" s="39" t="s">
        <v>39</v>
      </c>
      <c r="C11" s="19" t="s">
        <v>5</v>
      </c>
      <c r="D11" s="40"/>
      <c r="G11" s="44" t="s">
        <v>50</v>
      </c>
      <c r="H11" s="44" t="s">
        <v>51</v>
      </c>
      <c r="I11" s="44">
        <v>16878127821</v>
      </c>
      <c r="J11" s="44">
        <v>42225</v>
      </c>
      <c r="K11" s="47"/>
    </row>
    <row r="12" spans="1:15" ht="21" x14ac:dyDescent="0.3">
      <c r="B12" s="39" t="s">
        <v>43</v>
      </c>
      <c r="C12" s="19" t="s">
        <v>5</v>
      </c>
      <c r="D12" s="46"/>
      <c r="G12" s="44" t="s">
        <v>47</v>
      </c>
      <c r="H12" s="44" t="s">
        <v>48</v>
      </c>
      <c r="I12" s="44">
        <v>1398912516</v>
      </c>
      <c r="J12" s="44" t="s">
        <v>49</v>
      </c>
      <c r="K12" s="47">
        <v>561</v>
      </c>
      <c r="M12" s="9" t="b" cm="1">
        <f t="array" ref="M12">COUNTIF(customerName,$G$10)=1</f>
        <v>1</v>
      </c>
    </row>
    <row r="13" spans="1:15" ht="21" x14ac:dyDescent="0.3">
      <c r="B13" s="39" t="s">
        <v>40</v>
      </c>
      <c r="C13" s="19" t="s">
        <v>5</v>
      </c>
      <c r="D13" s="41"/>
      <c r="G13" s="44" t="s">
        <v>45</v>
      </c>
      <c r="H13" s="44" t="s">
        <v>46</v>
      </c>
      <c r="I13" s="44">
        <v>1789732461</v>
      </c>
      <c r="J13" s="44">
        <v>44542</v>
      </c>
      <c r="K13" s="47">
        <v>56220</v>
      </c>
    </row>
    <row r="14" spans="1:15" x14ac:dyDescent="0.3">
      <c r="G14" s="42" t="s">
        <v>53</v>
      </c>
      <c r="H14" s="42" t="s">
        <v>42</v>
      </c>
      <c r="I14" s="42">
        <v>198765432</v>
      </c>
      <c r="J14" s="42" t="s">
        <v>44</v>
      </c>
      <c r="K14" s="45">
        <v>156240</v>
      </c>
    </row>
    <row r="16" spans="1:15" x14ac:dyDescent="0.3">
      <c r="A16">
        <f>COUNTA(D9,D10,D11)</f>
        <v>0</v>
      </c>
    </row>
    <row r="19" spans="2:4" x14ac:dyDescent="0.3">
      <c r="B19" s="53" t="s">
        <v>56</v>
      </c>
      <c r="C19" s="54" t="s">
        <v>5</v>
      </c>
      <c r="D19" s="62" t="s">
        <v>53</v>
      </c>
    </row>
    <row r="20" spans="2:4" x14ac:dyDescent="0.3">
      <c r="B20" t="s">
        <v>57</v>
      </c>
      <c r="C20" t="s">
        <v>5</v>
      </c>
      <c r="D20" s="61">
        <f>VLOOKUP(D19,customerTable[#All],5,0)+GETPIVOTDATA("Due",saleRecords!$J$23,"Name &amp; Address",Customer!D19)-GETPIVOTDATA("Amount",Collection!$C$23,"Name",Customer!D19)</f>
        <v>58940</v>
      </c>
    </row>
    <row r="52" spans="16:16" x14ac:dyDescent="0.3">
      <c r="P52" s="43" t="s">
        <v>41</v>
      </c>
    </row>
  </sheetData>
  <mergeCells count="1">
    <mergeCell ref="B8:C8"/>
  </mergeCells>
  <conditionalFormatting sqref="P52">
    <cfRule type="expression" dxfId="2" priority="2">
      <formula>$A$16&gt;2</formula>
    </cfRule>
  </conditionalFormatting>
  <conditionalFormatting sqref="O3">
    <cfRule type="expression" dxfId="1" priority="1">
      <formula>$M$12="FALSE"</formula>
    </cfRule>
  </conditionalFormatting>
  <dataValidations count="2">
    <dataValidation type="list" allowBlank="1" showInputMessage="1" showErrorMessage="1" sqref="D19" xr:uid="{C76AFC03-7310-4EB8-8FC9-0B39A775A82F}">
      <formula1>customerName</formula1>
    </dataValidation>
    <dataValidation type="custom" allowBlank="1" showInputMessage="1" showErrorMessage="1" sqref="D9" xr:uid="{7F07477B-B084-4CB2-9E1E-725EBDE20EAB}">
      <formula1>COUNTIF(customerName,$D$9)=1</formula1>
    </dataValidation>
  </dataValidations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4C88A8-181B-4299-AA40-627C109F4F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Home</vt:lpstr>
      <vt:lpstr>Sale</vt:lpstr>
      <vt:lpstr>Store-Up</vt:lpstr>
      <vt:lpstr>Expenses</vt:lpstr>
      <vt:lpstr>saleRecords</vt:lpstr>
      <vt:lpstr>StoreRecords</vt:lpstr>
      <vt:lpstr>Collection</vt:lpstr>
      <vt:lpstr>Customer</vt:lpstr>
      <vt:lpstr>customerName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2022-12-30T06:15:24Z</cp:lastPrinted>
  <dcterms:created xsi:type="dcterms:W3CDTF">2022-12-27T07:48:30Z</dcterms:created>
  <dcterms:modified xsi:type="dcterms:W3CDTF">2023-01-04T14:18:41Z</dcterms:modified>
</cp:coreProperties>
</file>